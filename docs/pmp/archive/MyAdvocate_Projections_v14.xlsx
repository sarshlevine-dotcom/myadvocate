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Conservative" sheetId="3" state="visible" r:id="rId5"/>
    <sheet name="Expected" sheetId="4" state="visible" r:id="rId6"/>
    <sheet name="Optimistic" sheetId="5" state="visible" r:id="rId7"/>
    <sheet name="VALIDATION" sheetId="6" state="visible" r:id="rId8"/>
    <sheet name="SEO Model" sheetId="7" state="visible" r:id="rId9"/>
    <sheet name="Agent Deployment" sheetId="8" state="visible" r:id="rId10"/>
    <sheet name="Security Cos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<sst xmlns="http://schemas.openxmlformats.org/spreadsheetml/2006/main" count="425" uniqueCount="348">
  <si>
    <t xml:space="preserve">MyAdvocate Projections v14 — Executive Dashboard</t>
  </si>
  <si>
    <t xml:space="preserve">Source: PMP v19 | Version: v14.0 — March 2026 | Scenarios: Conservative / Expected / Optimistic</t>
  </si>
  <si>
    <t xml:space="preserve">KEY METRICS — MONTH 36</t>
  </si>
  <si>
    <t xml:space="preserve">Conservative</t>
  </si>
  <si>
    <t xml:space="preserve">Expected</t>
  </si>
  <si>
    <t xml:space="preserve">Optimistic</t>
  </si>
  <si>
    <t xml:space="preserve">Monthly Visitors</t>
  </si>
  <si>
    <t xml:space="preserve">Paid Subscribers</t>
  </si>
  <si>
    <t xml:space="preserve">MRR</t>
  </si>
  <si>
    <t xml:space="preserve">Monthly Referral Revenue</t>
  </si>
  <si>
    <t xml:space="preserve">Per-Case Revenue (M36)</t>
  </si>
  <si>
    <t xml:space="preserve">Total Revenue (M36)</t>
  </si>
  <si>
    <t xml:space="preserve">Owner's Draw (M36)</t>
  </si>
  <si>
    <t xml:space="preserve">Reserve Balance</t>
  </si>
  <si>
    <t xml:space="preserve">Traffic Signal</t>
  </si>
  <si>
    <t xml:space="preserve">3-Yr Subscription Revenue</t>
  </si>
  <si>
    <t xml:space="preserve">3-Yr Total Referral Revenue</t>
  </si>
  <si>
    <t xml:space="preserve">3-Yr Per-Case Revenue</t>
  </si>
  <si>
    <t xml:space="preserve">3-Yr Total Revenue</t>
  </si>
  <si>
    <t xml:space="preserve">CONVERSION &amp; GROWTH ASSUMPTIONS</t>
  </si>
  <si>
    <t xml:space="preserve">Paid Conversion Rate</t>
  </si>
  <si>
    <t xml:space="preserve">Monthly Traffic Growth</t>
  </si>
  <si>
    <t xml:space="preserve">Monthly Churn</t>
  </si>
  <si>
    <t xml:space="preserve">Per-Case Price</t>
  </si>
  <si>
    <t xml:space="preserve">Tool Engagement Rate</t>
  </si>
  <si>
    <t xml:space="preserve">MyAdvocate Financial Model v14 — Assumptions</t>
  </si>
  <si>
    <t xml:space="preserve">Source: PMP v19 | Blue = input (user-editable) | Black = calculated | Green = cross-sheet link</t>
  </si>
  <si>
    <t xml:space="preserve">Version: v14.0 — March 2026 | Scenarios: Conservative / Expected / Optimistic</t>
  </si>
  <si>
    <t xml:space="preserve">CORE BUSINESS ASSUMPTIONS</t>
  </si>
  <si>
    <t xml:space="preserve">Launch Month</t>
  </si>
  <si>
    <t xml:space="preserve">Month 1 = Launch</t>
  </si>
  <si>
    <t xml:space="preserve">Planning Horizon (months)</t>
  </si>
  <si>
    <t xml:space="preserve">3-year projection</t>
  </si>
  <si>
    <t xml:space="preserve">PRICING STRUCTURE</t>
  </si>
  <si>
    <t xml:space="preserve">Founding Advocate Annual Price</t>
  </si>
  <si>
    <t xml:space="preserve">$34/year — first 250 subs, locked forever</t>
  </si>
  <si>
    <t xml:space="preserve">Founding Advocate Monthly Equivalent</t>
  </si>
  <si>
    <t xml:space="preserve">$34/12 — for MRR calculation purposes</t>
  </si>
  <si>
    <t xml:space="preserve">Founding Advocate Renewal Price (Year 2+)</t>
  </si>
  <si>
    <t xml:space="preserve">$55/yr — permanent FA rate after Year 1 lock</t>
  </si>
  <si>
    <t xml:space="preserve">FA Cohort Cap</t>
  </si>
  <si>
    <t xml:space="preserve">Maximum Founding Advocates — hard cap</t>
  </si>
  <si>
    <t xml:space="preserve">Basic Tier Monthly</t>
  </si>
  <si>
    <t xml:space="preserve">Launch tier — all new subs Months 1–8</t>
  </si>
  <si>
    <t xml:space="preserve">Standard Tier Monthly (Month 9+)</t>
  </si>
  <si>
    <t xml:space="preserve">Price increase Month 9 — new subs only</t>
  </si>
  <si>
    <t xml:space="preserve">Advocate Builder Quarterly</t>
  </si>
  <si>
    <t xml:space="preserve">$21/quarter — alternative entry point</t>
  </si>
  <si>
    <t xml:space="preserve">Advocate Builder Monthly Equivalent</t>
  </si>
  <si>
    <t xml:space="preserve">$21/3 — for MRR purposes</t>
  </si>
  <si>
    <t xml:space="preserve">Annual Standard Price</t>
  </si>
  <si>
    <t xml:space="preserve">$55/yr for committed annual subscribers</t>
  </si>
  <si>
    <t xml:space="preserve">Premium Monthly (Phase 4+)</t>
  </si>
  <si>
    <t xml:space="preserve">Native app tier — Phase 4 unlock</t>
  </si>
  <si>
    <t xml:space="preserve">CONVERSION RATES — HEALTHCARE COLD TRAFFIC</t>
  </si>
  <si>
    <t xml:space="preserve">Conservative Paid Conversion Rate</t>
  </si>
  <si>
    <t xml:space="preserve">0.15% — cold traffic baseline. Source: PMP v19 §3</t>
  </si>
  <si>
    <t xml:space="preserve">Expected Paid Conversion Rate</t>
  </si>
  <si>
    <t xml:space="preserve">0.25% — moderate, denial-code SEO boost</t>
  </si>
  <si>
    <t xml:space="preserve">Optimistic Paid Conversion Rate</t>
  </si>
  <si>
    <t xml:space="preserve">0.50% — high-intent denial code + SEO optimization</t>
  </si>
  <si>
    <t xml:space="preserve">Free Signup / Email Capture Rate</t>
  </si>
  <si>
    <t xml:space="preserve">2.0% of visitors — owned email list growth</t>
  </si>
  <si>
    <t xml:space="preserve">Denial Decoder Free-to-Paid Lift</t>
  </si>
  <si>
    <t xml:space="preserve">15% higher conversion from denial code page visitors</t>
  </si>
  <si>
    <t xml:space="preserve">Founding Advocate Conversion Rate (of early subs)</t>
  </si>
  <si>
    <t xml:space="preserve">~40% of first subs take the FA offer</t>
  </si>
  <si>
    <t xml:space="preserve">SEO TRAFFIC GROWTH MODEL</t>
  </si>
  <si>
    <t xml:space="preserve">Month 1 Traffic — Conservative</t>
  </si>
  <si>
    <t xml:space="preserve">Minimal launch, no prior SEO momentum</t>
  </si>
  <si>
    <t xml:space="preserve">Month 1 Traffic — Expected</t>
  </si>
  <si>
    <t xml:space="preserve">Early SEO content live at launch</t>
  </si>
  <si>
    <t xml:space="preserve">Month 1 Traffic — Optimistic</t>
  </si>
  <si>
    <t xml:space="preserve">Aggressive pre-launch content build</t>
  </si>
  <si>
    <t xml:space="preserve">Monthly Traffic Growth — Conservative</t>
  </si>
  <si>
    <t xml:space="preserve">8% MoM — slow organic compounding</t>
  </si>
  <si>
    <t xml:space="preserve">Monthly Traffic Growth — Expected</t>
  </si>
  <si>
    <t xml:space="preserve">12% MoM — consistent 2x/week publishing</t>
  </si>
  <si>
    <t xml:space="preserve">Monthly Traffic Growth — Optimistic</t>
  </si>
  <si>
    <t xml:space="preserve">15% MoM — aggressive SEO + denial codes indexing fast</t>
  </si>
  <si>
    <t xml:space="preserve">Denial Code Program Traffic Boost (Month 3+)</t>
  </si>
  <si>
    <t xml:space="preserve">15% additional traffic lift from 200+ denial code pages indexing</t>
  </si>
  <si>
    <t xml:space="preserve">Content Cluster Maturity Boost (Month 6+)</t>
  </si>
  <si>
    <t xml:space="preserve">8% additional lift as pillar/cluster architecture matures</t>
  </si>
  <si>
    <t xml:space="preserve">Publishing Cadence (articles/week)</t>
  </si>
  <si>
    <t xml:space="preserve">2x/week per PMP v19 §4C — sustained from Month 1</t>
  </si>
  <si>
    <t xml:space="preserve">Denial Code Pages (Month 3 launch)</t>
  </si>
  <si>
    <t xml:space="preserve">200 denial code pages built — one-time SEO asset</t>
  </si>
  <si>
    <t xml:space="preserve">Month 12 Cumulative Articles Target</t>
  </si>
  <si>
    <t xml:space="preserve">~2x/week × 26 weeks = ~52 articles + backlog</t>
  </si>
  <si>
    <t xml:space="preserve">CHURN &amp; RETENTION</t>
  </si>
  <si>
    <t xml:space="preserve">Monthly Churn — Conservative</t>
  </si>
  <si>
    <t xml:space="preserve">8% monthly churn — challenging retention environment</t>
  </si>
  <si>
    <t xml:space="preserve">Monthly Churn — Expected</t>
  </si>
  <si>
    <t xml:space="preserve">6% monthly churn — decent product-market fit</t>
  </si>
  <si>
    <t xml:space="preserve">Monthly Churn — Optimistic</t>
  </si>
  <si>
    <t xml:space="preserve">4% monthly churn — strong engagement, content value</t>
  </si>
  <si>
    <t xml:space="preserve">Founding Advocate Churn Rate</t>
  </si>
  <si>
    <t xml:space="preserve">2% — locked pricing creates loyalty. Grandfathered rate.</t>
  </si>
  <si>
    <t xml:space="preserve">Annual Subscriber Churn Rate</t>
  </si>
  <si>
    <t xml:space="preserve">4% annual — commitment reduces churn significantly</t>
  </si>
  <si>
    <t xml:space="preserve">ATTORNEY REFERRAL ECONOMICS — TRAFFIC-BASED FLAT RATE</t>
  </si>
  <si>
    <t xml:space="preserve">Referral Program Start Month</t>
  </si>
  <si>
    <t xml:space="preserve">Month 6 — Signal 1 gate. Source: PMP v19 §3</t>
  </si>
  <si>
    <t xml:space="preserve">Referral Conversion Rate (of monthly visitors)</t>
  </si>
  <si>
    <t xml:space="preserve">0.1% of monthly visitors → referred. Traffic-based. Living assumption.</t>
  </si>
  <si>
    <t xml:space="preserve">Blended Revenue per Referral ($)</t>
  </si>
  <si>
    <t xml:space="preserve">$350 blended — midpoint of $300–$400 range. Update with actuals.</t>
  </si>
  <si>
    <t xml:space="preserve">COSTS — API &amp; INFRASTRUCTURE</t>
  </si>
  <si>
    <t xml:space="preserve">Cost per Letter Generation (Claude API)</t>
  </si>
  <si>
    <t xml:space="preserve">Per letter — Claude claude-sonnet-4-6. Source: PMP v19 §8C</t>
  </si>
  <si>
    <t xml:space="preserve">Cost per Denial Decoder Lookup</t>
  </si>
  <si>
    <t xml:space="preserve">Minimal API — structured lookup, short prompt</t>
  </si>
  <si>
    <t xml:space="preserve">Cost per Document Parse</t>
  </si>
  <si>
    <t xml:space="preserve">Bounded document parsing — Phase 1 feature</t>
  </si>
  <si>
    <t xml:space="preserve">Letters per Paid Sub per Month</t>
  </si>
  <si>
    <t xml:space="preserve">Average usage — 2 tools × ~1.75 letters each</t>
  </si>
  <si>
    <t xml:space="preserve">Denial Decoder Lookups per User per Month (free)</t>
  </si>
  <si>
    <t xml:space="preserve">Free tier usage — no signup required</t>
  </si>
  <si>
    <t xml:space="preserve">Base Infrastructure Monthly</t>
  </si>
  <si>
    <t xml:space="preserve">Vercel free + Supabase free + DO Droplet $6 + domain ~$1/mo</t>
  </si>
  <si>
    <t xml:space="preserve">Anthropic API Hard Cap Monthly</t>
  </si>
  <si>
    <t xml:space="preserve">Emergency shutoff cap — CTO Sentinel monitors</t>
  </si>
  <si>
    <t xml:space="preserve">Infrastructure Scale Threshold (subs)</t>
  </si>
  <si>
    <t xml:space="preserve">Upgrade Vercel/Supabase to paid at ~500 subs ($25+$20/mo more)</t>
  </si>
  <si>
    <t xml:space="preserve">COSTS — CONTENT &amp; SEO</t>
  </si>
  <si>
    <t xml:space="preserve">Content Production Cost per Article</t>
  </si>
  <si>
    <t xml:space="preserve">Founder-written Phase 1 — $0 direct cost</t>
  </si>
  <si>
    <t xml:space="preserve">SEO Tool Stack Monthly (Ahrefs Lite)</t>
  </si>
  <si>
    <t xml:space="preserve">Ahrefs Lite $29/mo. GSC free. Buffer $6/mo included below.</t>
  </si>
  <si>
    <t xml:space="preserve">Social Scheduling (Buffer)</t>
  </si>
  <si>
    <t xml:space="preserve">$6/mo for cross-platform scheduling</t>
  </si>
  <si>
    <t xml:space="preserve">Denial Code Database Build Cost</t>
  </si>
  <si>
    <t xml:space="preserve">Founder-built — data is public (CMS codes, CARC codes)</t>
  </si>
  <si>
    <t xml:space="preserve">COSTS — PLATFORM OPERATIONS</t>
  </si>
  <si>
    <t xml:space="preserve">n8n Pro Monthly</t>
  </si>
  <si>
    <t xml:space="preserve">Board of Agents automation platform</t>
  </si>
  <si>
    <t xml:space="preserve">Claude Code Monthly (Founder Dev)</t>
  </si>
  <si>
    <t xml:space="preserve">Anthropic Pro plan — development only, not user-facing</t>
  </si>
  <si>
    <t xml:space="preserve">Beehiiv Monthly (to 1k subs)</t>
  </si>
  <si>
    <t xml:space="preserve">Free tier covers first 1,000 email subscribers</t>
  </si>
  <si>
    <t xml:space="preserve">Beehiiv Monthly (1k+ subs)</t>
  </si>
  <si>
    <t xml:space="preserve">$42/mo Beehiiv Scale — activates at ~1k email subs (~Month 12)</t>
  </si>
  <si>
    <t xml:space="preserve">Stripe Transaction Fee %</t>
  </si>
  <si>
    <t xml:space="preserve">2.9% per transaction</t>
  </si>
  <si>
    <t xml:space="preserve">Stripe Fixed Fee per Transaction</t>
  </si>
  <si>
    <t xml:space="preserve">$0.30 per transaction</t>
  </si>
  <si>
    <t xml:space="preserve">Google Workspace + Domain Annual</t>
  </si>
  <si>
    <t xml:space="preserve">$10/mo equiv — sarsh@getmyadvocate.org + domain</t>
  </si>
  <si>
    <t xml:space="preserve">ONE-TIME LAUNCH COSTS</t>
  </si>
  <si>
    <t xml:space="preserve">Healthcare Compliance Attorney Review</t>
  </si>
  <si>
    <t xml:space="preserve">$1,500–$3,000 range — using midpoint. Source: PMP v19 §11</t>
  </si>
  <si>
    <t xml:space="preserve">Security Audit (External)</t>
  </si>
  <si>
    <t xml:space="preserve">External audit — Month 1 launch blocker</t>
  </si>
  <si>
    <t xml:space="preserve">LLC Formation / DBA Registration</t>
  </si>
  <si>
    <t xml:space="preserve">Already done — included for completeness</t>
  </si>
  <si>
    <t xml:space="preserve">Total One-Time Launch Costs</t>
  </si>
  <si>
    <t xml:space="preserve">Sum of one-time items</t>
  </si>
  <si>
    <t xml:space="preserve">TRAFFIC MILESTONE GATES — PMP v19 §3</t>
  </si>
  <si>
    <t xml:space="preserve">Signal 1 — Phase 2 Unlock</t>
  </si>
  <si>
    <t xml:space="preserve">10,000 monthly visitors. Referral outreach + CMO/COO agents</t>
  </si>
  <si>
    <t xml:space="preserve">Signal 2 — Phase 3 Unlock</t>
  </si>
  <si>
    <t xml:space="preserve">25,000 monthly visitors AND $5,000 MRR. CSO/CPO agents</t>
  </si>
  <si>
    <t xml:space="preserve">Signal 3 — Fractional Hire Consider</t>
  </si>
  <si>
    <t xml:space="preserve">40,000 monthly visitors. Referral automation, fractional help</t>
  </si>
  <si>
    <t xml:space="preserve">Signal 4 — Phase 4 Scale</t>
  </si>
  <si>
    <t xml:space="preserve">65,000 monthly visitors AND $15,000 MRR. Full agent stack</t>
  </si>
  <si>
    <t xml:space="preserve">Signal 5 — B2B + Native App</t>
  </si>
  <si>
    <t xml:space="preserve">110,000 monthly visitors. B2B outreach, VA hire</t>
  </si>
  <si>
    <t xml:space="preserve">Signal 6 — First Full-Time Hire Assessment</t>
  </si>
  <si>
    <t xml:space="preserve">175,000 monthly visitors. Full-time transition review</t>
  </si>
  <si>
    <t xml:space="preserve">Signal 2 MRR Gate</t>
  </si>
  <si>
    <t xml:space="preserve">$5,000 MRR required alongside Signal 2 traffic</t>
  </si>
  <si>
    <t xml:space="preserve">Signal 4 MRR Gate</t>
  </si>
  <si>
    <t xml:space="preserve">$15,000 MRR required alongside Signal 4 traffic</t>
  </si>
  <si>
    <t xml:space="preserve">FOUNDER COMPENSATION — PHASE-GATED WITHDRAWAL RATES</t>
  </si>
  <si>
    <t xml:space="preserve">Phase 1 Withdrawal Rate</t>
  </si>
  <si>
    <t xml:space="preserve">0% — all profit builds reserve. No exceptions.</t>
  </si>
  <si>
    <t xml:space="preserve">Phase 2 Withdrawal Rate (Baseline)</t>
  </si>
  <si>
    <t xml:space="preserve">23.6% of monthly profit — Phase 2 standard</t>
  </si>
  <si>
    <t xml:space="preserve">Phase 3 Withdrawal Rate (Baseline)</t>
  </si>
  <si>
    <t xml:space="preserve">38.2% of monthly profit — Phase 3 standard</t>
  </si>
  <si>
    <t xml:space="preserve">Phase 4 Withdrawal Rate (Baseline)</t>
  </si>
  <si>
    <t xml:space="preserve">61.8% of monthly profit — Phase 4 standard</t>
  </si>
  <si>
    <t xml:space="preserve">Native App Development Fund %</t>
  </si>
  <si>
    <t xml:space="preserve">20% of monthly profit → app development fund</t>
  </si>
  <si>
    <t xml:space="preserve">Phase 2 Reserve Floor (months of opex)</t>
  </si>
  <si>
    <t xml:space="preserve">3-month reserve required for Phase 2 withdrawal</t>
  </si>
  <si>
    <t xml:space="preserve">Phase 3 Reserve Floor (months of opex)</t>
  </si>
  <si>
    <t xml:space="preserve">6-month reserve required for Phase 3 withdrawal + PRW quarterly</t>
  </si>
  <si>
    <t xml:space="preserve">Phase 4 Reserve Floor (months of opex)</t>
  </si>
  <si>
    <t xml:space="preserve">12-month reserve for Phase 4 withdrawal</t>
  </si>
  <si>
    <t xml:space="preserve">PROFIT RELEASE WINDOWS — DISCRETIONARY DRAW CAPS</t>
  </si>
  <si>
    <t xml:space="preserve">Level 4-5 (Phase 2) Quarterly Reserve Bar</t>
  </si>
  <si>
    <t xml:space="preserve">4 months — standard quarterly PRW bar</t>
  </si>
  <si>
    <t xml:space="preserve">Level 4-5 (Phase 2) Monthly Trigger Reserve Bar</t>
  </si>
  <si>
    <t xml:space="preserve">6 months — higher bar for monthly trigger option</t>
  </si>
  <si>
    <t xml:space="preserve">Level 4-5 Discretionary Cap</t>
  </si>
  <si>
    <t xml:space="preserve">35% of monthly profit — max with health check</t>
  </si>
  <si>
    <t xml:space="preserve">Level 6-7 (Phase 3) Quarterly Reserve Bar</t>
  </si>
  <si>
    <t xml:space="preserve">6 months</t>
  </si>
  <si>
    <t xml:space="preserve">Level 6-7 (Phase 3) Monthly Trigger Reserve Bar</t>
  </si>
  <si>
    <t xml:space="preserve">8 months</t>
  </si>
  <si>
    <t xml:space="preserve">Level 6-7 Discretionary Cap</t>
  </si>
  <si>
    <t xml:space="preserve">55% of monthly profit</t>
  </si>
  <si>
    <t xml:space="preserve">Level 8 (Phase 4) Quarterly Reserve Bar</t>
  </si>
  <si>
    <t xml:space="preserve">Level 8 Monthly Trigger Reserve Bar</t>
  </si>
  <si>
    <t xml:space="preserve">10 months</t>
  </si>
  <si>
    <t xml:space="preserve">Level 8 Discretionary Cap</t>
  </si>
  <si>
    <t xml:space="preserve">75% of monthly profit</t>
  </si>
  <si>
    <t xml:space="preserve">Level 9 (Phase 4+) Quarterly Reserve Bar</t>
  </si>
  <si>
    <t xml:space="preserve">Level 9 Monthly Trigger Reserve Bar</t>
  </si>
  <si>
    <t xml:space="preserve">12 months — fortress reserve required</t>
  </si>
  <si>
    <t xml:space="preserve">Level 9 Discretionary Cap</t>
  </si>
  <si>
    <t xml:space="preserve">85% — full discretion within reserve floor</t>
  </si>
  <si>
    <t xml:space="preserve">PER-CASE REVENUE ASSUMPTIONS — v14 ADDITION (Pricing Strategy v2)</t>
  </si>
  <si>
    <t xml:space="preserve">Per-Case Letter Price ($)</t>
  </si>
  <si>
    <t xml:space="preserve">$13 one-time — equals Standard tier price. Source: Pricing Strategy v2 §4.3</t>
  </si>
  <si>
    <t xml:space="preserve">Letter Tool Engagement Rate (free users)</t>
  </si>
  <si>
    <t xml:space="preserve">8% of visitors use a LETTER tool (not Denial Decoder). Source: Pricing Strategy v2 §5.1</t>
  </si>
  <si>
    <t xml:space="preserve">Free-to-Second-Letter Rate</t>
  </si>
  <si>
    <t xml:space="preserve">15% of engaged tool users need 2nd letter in same calendar month</t>
  </si>
  <si>
    <t xml:space="preserve">Per-Case Purchase Rate (of those needing 2nd letter)</t>
  </si>
  <si>
    <t xml:space="preserve">25% choose $13 single letter vs. subscribe or leave</t>
  </si>
  <si>
    <t xml:space="preserve">Per-Case to Subscription Rate (90-day upside — NOT modeled)</t>
  </si>
  <si>
    <t xml:space="preserve">20% secondary conversion upside. Intentionally excluded from primary table to keep projections conservative.</t>
  </si>
  <si>
    <t xml:space="preserve">CONSERVATIVE SCENARIO — Conservative Growth</t>
  </si>
  <si>
    <t xml:space="preserve">0.15% paid conversion | 8% MoM traffic growth | 8% monthly churn | Referral: 0.1% of visitors x $350 blended</t>
  </si>
  <si>
    <t xml:space="preserve">Blue = hardcoded inputs | Black = calculated formulas | Green = Assumptions references</t>
  </si>
  <si>
    <t xml:space="preserve">Month</t>
  </si>
  <si>
    <t xml:space="preserve">Monthly
Visitors</t>
  </si>
  <si>
    <t xml:space="preserve">Free Signups
(Email 2%)</t>
  </si>
  <si>
    <t xml:space="preserve">New Paid
Subs</t>
  </si>
  <si>
    <t xml:space="preserve">Total Paid
Subs</t>
  </si>
  <si>
    <t xml:space="preserve">Churn
This Month</t>
  </si>
  <si>
    <t xml:space="preserve">Net New
Subs</t>
  </si>
  <si>
    <t xml:space="preserve">MRR
($)</t>
  </si>
  <si>
    <t xml:space="preserve">Monthly
Revenue ($)</t>
  </si>
  <si>
    <t xml:space="preserve">Letter
Generations</t>
  </si>
  <si>
    <t xml:space="preserve">API
Costs ($)</t>
  </si>
  <si>
    <t xml:space="preserve">Infrastructure
($)</t>
  </si>
  <si>
    <t xml:space="preserve">Content/SEO
($)</t>
  </si>
  <si>
    <t xml:space="preserve">n8n +
Tools ($)</t>
  </si>
  <si>
    <t xml:space="preserve">Stripe
Fees ($)</t>
  </si>
  <si>
    <t xml:space="preserve">Total
Costs ($)</t>
  </si>
  <si>
    <t xml:space="preserve">Gross
Profit ($)</t>
  </si>
  <si>
    <t xml:space="preserve">Referral
Revenue ($)</t>
  </si>
  <si>
    <t xml:space="preserve">Total
Revenue ($)</t>
  </si>
  <si>
    <t xml:space="preserve">Owner's
Draw ($)</t>
  </si>
  <si>
    <t xml:space="preserve">Reserve
Balance ($)</t>
  </si>
  <si>
    <t xml:space="preserve">Traffic
Signal</t>
  </si>
  <si>
    <t xml:space="preserve">Per-Case
Revenue ($)</t>
  </si>
  <si>
    <t xml:space="preserve">Free Tier
API Cost ($)</t>
  </si>
  <si>
    <t xml:space="preserve">TOTALS</t>
  </si>
  <si>
    <t xml:space="preserve">AVG MO</t>
  </si>
  <si>
    <t xml:space="preserve">M36</t>
  </si>
  <si>
    <t xml:space="preserve">EXPECTED SCENARIO — Expected Growth</t>
  </si>
  <si>
    <t xml:space="preserve">0.25% paid conversion | 12% MoM traffic growth | 6% monthly churn | Referral: 0.1% of visitors x $350 blended</t>
  </si>
  <si>
    <t xml:space="preserve">OPTIMISTIC SCENARIO — Optimistic Growth</t>
  </si>
  <si>
    <t xml:space="preserve">0.50% paid conversion | 15% MoM traffic growth | 4% monthly churn | Referral: 0.1% of visitors x $350 blended</t>
  </si>
  <si>
    <t xml:space="preserve">VALIDATION CHECKS — ALL MUST SHOW PASS BEFORE RELEASE</t>
  </si>
  <si>
    <t xml:space="preserve">Run this sheet after every model update. Any FAIL blocks release.</t>
  </si>
  <si>
    <t xml:space="preserve">Check</t>
  </si>
  <si>
    <t xml:space="preserve">Actual / Formula</t>
  </si>
  <si>
    <t xml:space="preserve">Status</t>
  </si>
  <si>
    <t xml:space="preserve">Notes</t>
  </si>
  <si>
    <t xml:space="preserve">Conservative conversion rate correct (B22)</t>
  </si>
  <si>
    <t xml:space="preserve">0.15%</t>
  </si>
  <si>
    <t xml:space="preserve">Core formula check. B22 = Conservative paid conv. NOT B25 (free signup).</t>
  </si>
  <si>
    <t xml:space="preserve">Expected conversion rate correct (B23)</t>
  </si>
  <si>
    <t xml:space="preserve">0.25%</t>
  </si>
  <si>
    <t xml:space="preserve">Core formula check.</t>
  </si>
  <si>
    <t xml:space="preserve">Optimistic conversion rate correct (B24)</t>
  </si>
  <si>
    <t xml:space="preserve">0.50%</t>
  </si>
  <si>
    <t xml:space="preserve">Free signup rate &gt; all paid conv rates</t>
  </si>
  <si>
    <t xml:space="preserve">B25 (2%) &gt; B22, B23, B24</t>
  </si>
  <si>
    <t xml:space="preserve">Sanity check: email capture always &gt; paid conversion.</t>
  </si>
  <si>
    <t xml:space="preserve">Conservative traffic growth = 8%</t>
  </si>
  <si>
    <t xml:space="preserve">8%</t>
  </si>
  <si>
    <t xml:space="preserve">Traffic model check.</t>
  </si>
  <si>
    <t xml:space="preserve">Expected traffic growth = 12%</t>
  </si>
  <si>
    <t xml:space="preserve">12%</t>
  </si>
  <si>
    <t xml:space="preserve">Optimistic traffic growth = 15%</t>
  </si>
  <si>
    <t xml:space="preserve">15%</t>
  </si>
  <si>
    <t xml:space="preserve">Changed from 18% to 15%: 18% for 36 months = 490k visitors, not defensible for solo healthcare SEO.</t>
  </si>
  <si>
    <t xml:space="preserve">Conservative churn = 8%</t>
  </si>
  <si>
    <t xml:space="preserve">Churn model check.</t>
  </si>
  <si>
    <t xml:space="preserve">Expected churn = 6%</t>
  </si>
  <si>
    <t xml:space="preserve">6%</t>
  </si>
  <si>
    <t xml:space="preserve">Optimistic churn = 4%</t>
  </si>
  <si>
    <t xml:space="preserve">4%</t>
  </si>
  <si>
    <t xml:space="preserve">Referral program starts Month 6</t>
  </si>
  <si>
    <t xml:space="preserve">Month 6</t>
  </si>
  <si>
    <t xml:space="preserve">Source: PMP v19 §3 — Signal 1 gate.</t>
  </si>
  <si>
    <t xml:space="preserve">Signal 1 gate = 10,000 visitors</t>
  </si>
  <si>
    <t xml:space="preserve">10,000</t>
  </si>
  <si>
    <t xml:space="preserve">PMP v19 §3 clean gate number.</t>
  </si>
  <si>
    <t xml:space="preserve">Signal 2 gate = 25,000 visitors</t>
  </si>
  <si>
    <t xml:space="preserve">25,000</t>
  </si>
  <si>
    <t xml:space="preserve">Signal 3 gate = 40,000 visitors</t>
  </si>
  <si>
    <t xml:space="preserve">40,000</t>
  </si>
  <si>
    <t xml:space="preserve">Signal 4 gate = 65,000 visitors</t>
  </si>
  <si>
    <t xml:space="preserve">65,000</t>
  </si>
  <si>
    <t xml:space="preserve">Signal 5 gate = 110,000 visitors</t>
  </si>
  <si>
    <t xml:space="preserve">110,000</t>
  </si>
  <si>
    <t xml:space="preserve">Phase 1 withdrawal = 0%</t>
  </si>
  <si>
    <t xml:space="preserve">0%</t>
  </si>
  <si>
    <t xml:space="preserve">Non-negotiable. No Phase 1 withdrawals under any condition.</t>
  </si>
  <si>
    <t xml:space="preserve">Level 9 monthly PRW bar = 12 months</t>
  </si>
  <si>
    <t xml:space="preserve">12</t>
  </si>
  <si>
    <t xml:space="preserve">PMP v19 §9C: Level 9 monthly trigger requires 12-month reserve.</t>
  </si>
  <si>
    <t xml:space="preserve">Conservative M36 reserve positive</t>
  </si>
  <si>
    <t xml:space="preserve">&gt;$0</t>
  </si>
  <si>
    <t xml:space="preserve">Business must be self-sustaining by M36 in Conservative scenario.</t>
  </si>
  <si>
    <t xml:space="preserve">Expected M36 reserve positive</t>
  </si>
  <si>
    <t xml:space="preserve">Expected scenario reserve check.</t>
  </si>
  <si>
    <t xml:space="preserve">Conservative M36 subscribers &gt; 0</t>
  </si>
  <si>
    <t xml:space="preserve">&gt;0</t>
  </si>
  <si>
    <t xml:space="preserve">Basic growth sanity check.</t>
  </si>
  <si>
    <t xml:space="preserve">No Fibonacci gate numbers remain</t>
  </si>
  <si>
    <t xml:space="preserve">No 16180/26171/42325/68502 in gates</t>
  </si>
  <si>
    <t xml:space="preserve">Manual check</t>
  </si>
  <si>
    <t xml:space="preserve">v12 used Fibonacci numbers. v13+ uses clean business milestones.</t>
  </si>
  <si>
    <t xml:space="preserve">Conservative M36 monthly cash-flow positive</t>
  </si>
  <si>
    <t xml:space="preserve">Gross Profit M36 &gt; $0</t>
  </si>
  <si>
    <t xml:space="preserve">Monthly profit must be positive by M36. Conservative reserve may never fully recover.</t>
  </si>
  <si>
    <t xml:space="preserve">Denial Decoder API cost = $0 (static DB)</t>
  </si>
  <si>
    <t xml:space="preserve">Static lookup — no LLM</t>
  </si>
  <si>
    <t xml:space="preserve">Denial code lookups use static JSON/CSV. No Claude API call. Only letters hit the API.</t>
  </si>
  <si>
    <t xml:space="preserve">Optimistic M36 MRR &gt; Conservative M36 MRR</t>
  </si>
  <si>
    <t xml:space="preserve">Optimistic &gt; Conservative</t>
  </si>
  <si>
    <t xml:space="preserve">Scenario ordering sanity check.</t>
  </si>
  <si>
    <t xml:space="preserve">Per-case price = $13 (B136)</t>
  </si>
  <si>
    <t xml:space="preserve">$13</t>
  </si>
  <si>
    <t xml:space="preserve">v14 addition. Per-case price matches Standard tier — convergence architecture.</t>
  </si>
  <si>
    <t xml:space="preserve">Letter tool engagement rate = 8% (B137)</t>
  </si>
  <si>
    <t xml:space="preserve">v14 addition. Free letter tool engagement. Does NOT include Denial Decoder.</t>
  </si>
  <si>
    <t xml:space="preserve">Per-case revenue positive in Expected M12</t>
  </si>
  <si>
    <t xml:space="preserve">v14 addition. Sanity check: per-case formula is generating revenue by Month 12.</t>
  </si>
  <si>
    <t xml:space="preserve">Total revenue &gt; subscription revenue in Expected M36</t>
  </si>
  <si>
    <t xml:space="preserve">S41 &gt; I41</t>
  </si>
  <si>
    <t xml:space="preserve">v14 addition. Confirms per-case + referral are additive to subscriptions.</t>
  </si>
  <si>
    <t xml:space="preserve">TOTAL CHECKS</t>
  </si>
  <si>
    <t xml:space="preserve">29 checks</t>
  </si>
  <si>
    <t xml:space="preserve">SEO Model — See PMP v19 for full specification</t>
  </si>
  <si>
    <t xml:space="preserve">This sheet carried forward from v13 — no changes in v14.</t>
  </si>
  <si>
    <t xml:space="preserve">Agent Deployment — See PMP v19 for full specification</t>
  </si>
  <si>
    <t xml:space="preserve">Security Costs — See PMP v19 for full specification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</si>
</sst>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5E8F0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sz val="1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CD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</row>
    <row r="6" customFormat="false" ht="15" hidden="false" customHeight="false" outlineLevel="0" collapsed="false">
      <c r="A6" s="5" t="s">
        <v>6</v>
      </c>
      <c r="B6" s="6" t="n">
        <f aca="false">Conservative!B41</f>
        <v>9181.69880677307</v>
      </c>
      <c r="C6" s="6" t="n">
        <f aca="false">Expected!B41</f>
        <v>52461.7020138012</v>
      </c>
      <c r="D6" s="6" t="n">
        <f aca="false">Optimistic!B41</f>
        <v>198484.800108733</v>
      </c>
    </row>
    <row r="7" customFormat="false" ht="15" hidden="false" customHeight="false" outlineLevel="0" collapsed="false">
      <c r="A7" s="7" t="s">
        <v>7</v>
      </c>
      <c r="B7" s="8" t="n">
        <f aca="false">Conservative!E41</f>
        <v>92</v>
      </c>
      <c r="C7" s="8" t="n">
        <f aca="false">Expected!E41</f>
        <v>812</v>
      </c>
      <c r="D7" s="8" t="n">
        <f aca="false">Optimistic!E41</f>
        <v>5994</v>
      </c>
    </row>
    <row r="8" customFormat="false" ht="15" hidden="false" customHeight="false" outlineLevel="0" collapsed="false">
      <c r="A8" s="5" t="s">
        <v>8</v>
      </c>
      <c r="B8" s="6" t="n">
        <f aca="false">Conservative!H41</f>
        <v>1056</v>
      </c>
      <c r="C8" s="6" t="n">
        <f aca="false">Expected!H41</f>
        <v>9318</v>
      </c>
      <c r="D8" s="6" t="n">
        <f aca="false">Optimistic!H41</f>
        <v>68781</v>
      </c>
    </row>
    <row r="9" customFormat="false" ht="15" hidden="false" customHeight="false" outlineLevel="0" collapsed="false">
      <c r="A9" s="7" t="s">
        <v>9</v>
      </c>
      <c r="B9" s="8" t="n">
        <f aca="false">Conservative!R41</f>
        <v>3214</v>
      </c>
      <c r="C9" s="8" t="n">
        <f aca="false">Expected!R41</f>
        <v>18362</v>
      </c>
      <c r="D9" s="8" t="n">
        <f aca="false">Optimistic!R41</f>
        <v>69470</v>
      </c>
    </row>
    <row r="10" customFormat="false" ht="15" hidden="false" customHeight="false" outlineLevel="0" collapsed="false">
      <c r="A10" s="5" t="s">
        <v>10</v>
      </c>
      <c r="B10" s="6" t="n">
        <f aca="false">Conservative!W41</f>
        <v>358</v>
      </c>
      <c r="C10" s="6" t="n">
        <f aca="false">Expected!W41</f>
        <v>2046</v>
      </c>
      <c r="D10" s="6" t="n">
        <f aca="false">Optimistic!W41</f>
        <v>7741</v>
      </c>
    </row>
    <row r="11" customFormat="false" ht="15" hidden="false" customHeight="false" outlineLevel="0" collapsed="false">
      <c r="A11" s="7" t="s">
        <v>11</v>
      </c>
      <c r="B11" s="8" t="n">
        <f aca="false">Conservative!S41</f>
        <v>4628</v>
      </c>
      <c r="C11" s="8" t="n">
        <f aca="false">Expected!S41</f>
        <v>29726</v>
      </c>
      <c r="D11" s="8" t="n">
        <f aca="false">Optimistic!S41</f>
        <v>145992</v>
      </c>
    </row>
    <row r="12" customFormat="false" ht="15" hidden="false" customHeight="false" outlineLevel="0" collapsed="false">
      <c r="A12" s="5" t="s">
        <v>12</v>
      </c>
      <c r="B12" s="6" t="n">
        <f aca="false">Conservative!T41</f>
        <v>1234</v>
      </c>
      <c r="C12" s="6" t="n">
        <f aca="false">Expected!T41</f>
        <v>8119</v>
      </c>
      <c r="D12" s="6" t="n">
        <f aca="false">Optimistic!T41</f>
        <v>39722</v>
      </c>
    </row>
    <row r="13" customFormat="false" ht="15" hidden="false" customHeight="false" outlineLevel="0" collapsed="false">
      <c r="A13" s="7" t="s">
        <v>13</v>
      </c>
      <c r="B13" s="8" t="n">
        <f aca="false">Conservative!U41</f>
        <v>46391</v>
      </c>
      <c r="C13" s="8" t="n">
        <f aca="false">Expected!U41</f>
        <v>249148</v>
      </c>
      <c r="D13" s="8" t="n">
        <f aca="false">Optimistic!U41</f>
        <v>1036002</v>
      </c>
    </row>
    <row r="14" customFormat="false" ht="15" hidden="false" customHeight="false" outlineLevel="0" collapsed="false">
      <c r="A14" s="5" t="s">
        <v>14</v>
      </c>
      <c r="B14" s="9" t="str">
        <f aca="false">Conservative!V41</f>
        <v>Pre-Signal 1</v>
      </c>
      <c r="C14" s="9" t="str">
        <f aca="false">Expected!V41</f>
        <v>Signal 3</v>
      </c>
      <c r="D14" s="9" t="str">
        <f aca="false">Optimistic!V41</f>
        <v>Signal 6</v>
      </c>
    </row>
    <row r="15" customFormat="false" ht="15" hidden="false" customHeight="false" outlineLevel="0" collapsed="false">
      <c r="A15" s="7" t="s">
        <v>15</v>
      </c>
      <c r="B15" s="10" t="n">
        <f aca="false">Conservative!I43</f>
        <v>12386</v>
      </c>
      <c r="C15" s="10" t="n">
        <f aca="false">Expected!I43</f>
        <v>82970</v>
      </c>
      <c r="D15" s="10" t="n">
        <f aca="false">Optimistic!I43</f>
        <v>513896</v>
      </c>
    </row>
    <row r="16" customFormat="false" ht="15" hidden="false" customHeight="false" outlineLevel="0" collapsed="false">
      <c r="A16" s="5" t="s">
        <v>16</v>
      </c>
      <c r="B16" s="9" t="n">
        <f aca="false">Conservative!R43</f>
        <v>39390</v>
      </c>
      <c r="C16" s="9" t="n">
        <f aca="false">Expected!R43</f>
        <v>166268</v>
      </c>
      <c r="D16" s="9" t="n">
        <f aca="false">Optimistic!R43</f>
        <v>525609</v>
      </c>
    </row>
    <row r="17" customFormat="false" ht="15" hidden="false" customHeight="false" outlineLevel="0" collapsed="false">
      <c r="A17" s="7" t="s">
        <v>17</v>
      </c>
      <c r="B17" s="10" t="n">
        <f aca="false">Conservative!W43</f>
        <v>4517</v>
      </c>
      <c r="C17" s="10" t="n">
        <f aca="false">Expected!W43</f>
        <v>18744</v>
      </c>
      <c r="D17" s="10" t="n">
        <f aca="false">Optimistic!W43</f>
        <v>58915</v>
      </c>
    </row>
    <row r="18" customFormat="false" ht="15" hidden="false" customHeight="false" outlineLevel="0" collapsed="false">
      <c r="A18" s="5" t="s">
        <v>18</v>
      </c>
      <c r="B18" s="9" t="n">
        <f aca="false">Conservative!S43</f>
        <v>56293</v>
      </c>
      <c r="C18" s="9" t="n">
        <f aca="false">Expected!S43</f>
        <v>267982</v>
      </c>
      <c r="D18" s="9" t="n">
        <f aca="false">Optimistic!S43</f>
        <v>1098420</v>
      </c>
    </row>
    <row r="20" customFormat="false" ht="15" hidden="false" customHeight="false" outlineLevel="0" collapsed="false">
      <c r="A20" s="3" t="s">
        <v>19</v>
      </c>
    </row>
    <row r="21" customFormat="false" ht="15" hidden="false" customHeight="false" outlineLevel="0" collapsed="false">
      <c r="B21" s="0" t="s">
        <v>3</v>
      </c>
      <c r="C21" s="0" t="s">
        <v>4</v>
      </c>
      <c r="D21" s="0" t="s">
        <v>5</v>
      </c>
    </row>
    <row r="22" customFormat="false" ht="15" hidden="false" customHeight="false" outlineLevel="0" collapsed="false">
      <c r="A22" s="0" t="s">
        <v>20</v>
      </c>
      <c r="B22" s="0" t="n">
        <f aca="false">Assumptions!B22</f>
        <v>0.0015</v>
      </c>
      <c r="C22" s="0" t="n">
        <f aca="false">Assumptions!B23</f>
        <v>0.0025</v>
      </c>
      <c r="D22" s="0" t="n">
        <f aca="false">Assumptions!B24</f>
        <v>0.005</v>
      </c>
    </row>
    <row r="23" customFormat="false" ht="15" hidden="false" customHeight="false" outlineLevel="0" collapsed="false">
      <c r="A23" s="0" t="s">
        <v>21</v>
      </c>
      <c r="B23" s="0" t="n">
        <f aca="false">Assumptions!B33</f>
        <v>0.08</v>
      </c>
      <c r="C23" s="0" t="n">
        <f aca="false">Assumptions!B34</f>
        <v>0.12</v>
      </c>
      <c r="D23" s="0" t="n">
        <f aca="false">Assumptions!B35</f>
        <v>0.15</v>
      </c>
    </row>
    <row r="24" customFormat="false" ht="15" hidden="false" customHeight="false" outlineLevel="0" collapsed="false">
      <c r="A24" s="0" t="s">
        <v>22</v>
      </c>
      <c r="B24" s="0" t="n">
        <f aca="false">Assumptions!B43</f>
        <v>0.08</v>
      </c>
      <c r="C24" s="0" t="n">
        <f aca="false">Assumptions!B44</f>
        <v>0.06</v>
      </c>
      <c r="D24" s="0" t="n">
        <f aca="false">Assumptions!B45</f>
        <v>0.04</v>
      </c>
    </row>
    <row r="25" customFormat="false" ht="15" hidden="false" customHeight="false" outlineLevel="0" collapsed="false">
      <c r="A25" s="0" t="s">
        <v>23</v>
      </c>
      <c r="B25" s="0" t="n">
        <f aca="false">Assumptions!B136</f>
        <v>13</v>
      </c>
      <c r="C25" s="0" t="n">
        <f aca="false">Assumptions!B136</f>
        <v>13</v>
      </c>
      <c r="D25" s="0" t="n">
        <f aca="false">Assumptions!B136</f>
        <v>13</v>
      </c>
    </row>
    <row r="26" customFormat="false" ht="15" hidden="false" customHeight="false" outlineLevel="0" collapsed="false">
      <c r="A26" s="0" t="s">
        <v>24</v>
      </c>
      <c r="B26" s="0" t="n">
        <f aca="false">Assumptions!B137</f>
        <v>0.08</v>
      </c>
      <c r="C26" s="0" t="n">
        <f aca="false">Assumptions!B137</f>
        <v>0.08</v>
      </c>
      <c r="D26" s="0" t="n">
        <f aca="false">Assumptions!B137</f>
        <v>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25</v>
      </c>
    </row>
    <row r="2" customFormat="false" ht="15" hidden="false" customHeight="false" outlineLevel="0" collapsed="false">
      <c r="A2" s="11" t="s">
        <v>26</v>
      </c>
    </row>
    <row r="3" customFormat="false" ht="15" hidden="false" customHeight="false" outlineLevel="0" collapsed="false">
      <c r="A3" s="11" t="s">
        <v>27</v>
      </c>
    </row>
    <row r="5" customFormat="false" ht="15" hidden="false" customHeight="false" outlineLevel="0" collapsed="false">
      <c r="A5" s="12" t="s">
        <v>28</v>
      </c>
    </row>
    <row r="6" customFormat="false" ht="15" hidden="false" customHeight="false" outlineLevel="0" collapsed="false">
      <c r="A6" s="13" t="s">
        <v>29</v>
      </c>
      <c r="B6" s="13" t="n">
        <v>1</v>
      </c>
      <c r="C6" s="14" t="s">
        <v>30</v>
      </c>
    </row>
    <row r="7" customFormat="false" ht="15" hidden="false" customHeight="false" outlineLevel="0" collapsed="false">
      <c r="A7" s="13" t="s">
        <v>31</v>
      </c>
      <c r="B7" s="13" t="n">
        <v>36</v>
      </c>
      <c r="C7" s="14" t="s">
        <v>32</v>
      </c>
    </row>
    <row r="9" customFormat="false" ht="15" hidden="false" customHeight="false" outlineLevel="0" collapsed="false">
      <c r="A9" s="12" t="s">
        <v>33</v>
      </c>
    </row>
    <row r="10" customFormat="false" ht="15" hidden="false" customHeight="false" outlineLevel="0" collapsed="false">
      <c r="A10" s="13" t="s">
        <v>34</v>
      </c>
      <c r="B10" s="13" t="n">
        <v>34</v>
      </c>
      <c r="C10" s="14" t="s">
        <v>35</v>
      </c>
    </row>
    <row r="11" customFormat="false" ht="15" hidden="false" customHeight="false" outlineLevel="0" collapsed="false">
      <c r="A11" s="13" t="s">
        <v>36</v>
      </c>
      <c r="B11" s="11" t="n">
        <f aca="false">B10/12</f>
        <v>2.83333333333333</v>
      </c>
      <c r="C11" s="14" t="s">
        <v>37</v>
      </c>
    </row>
    <row r="12" customFormat="false" ht="15" hidden="false" customHeight="false" outlineLevel="0" collapsed="false">
      <c r="A12" s="13" t="s">
        <v>38</v>
      </c>
      <c r="B12" s="13" t="n">
        <v>55</v>
      </c>
      <c r="C12" s="14" t="s">
        <v>39</v>
      </c>
    </row>
    <row r="13" customFormat="false" ht="15" hidden="false" customHeight="false" outlineLevel="0" collapsed="false">
      <c r="A13" s="13" t="s">
        <v>40</v>
      </c>
      <c r="B13" s="13" t="n">
        <v>250</v>
      </c>
      <c r="C13" s="14" t="s">
        <v>41</v>
      </c>
    </row>
    <row r="14" customFormat="false" ht="15" hidden="false" customHeight="false" outlineLevel="0" collapsed="false">
      <c r="A14" s="13" t="s">
        <v>42</v>
      </c>
      <c r="B14" s="13" t="n">
        <v>8</v>
      </c>
      <c r="C14" s="14" t="s">
        <v>43</v>
      </c>
    </row>
    <row r="15" customFormat="false" ht="15" hidden="false" customHeight="false" outlineLevel="0" collapsed="false">
      <c r="A15" s="13" t="s">
        <v>44</v>
      </c>
      <c r="B15" s="13" t="n">
        <v>13</v>
      </c>
      <c r="C15" s="14" t="s">
        <v>45</v>
      </c>
    </row>
    <row r="16" customFormat="false" ht="15" hidden="false" customHeight="false" outlineLevel="0" collapsed="false">
      <c r="A16" s="13" t="s">
        <v>46</v>
      </c>
      <c r="B16" s="13" t="n">
        <v>21</v>
      </c>
      <c r="C16" s="14" t="s">
        <v>47</v>
      </c>
    </row>
    <row r="17" customFormat="false" ht="15" hidden="false" customHeight="false" outlineLevel="0" collapsed="false">
      <c r="A17" s="13" t="s">
        <v>48</v>
      </c>
      <c r="B17" s="11" t="n">
        <f aca="false">B16/3</f>
        <v>7</v>
      </c>
      <c r="C17" s="14" t="s">
        <v>49</v>
      </c>
    </row>
    <row r="18" customFormat="false" ht="15" hidden="false" customHeight="false" outlineLevel="0" collapsed="false">
      <c r="A18" s="13" t="s">
        <v>50</v>
      </c>
      <c r="B18" s="13" t="n">
        <v>55</v>
      </c>
      <c r="C18" s="14" t="s">
        <v>51</v>
      </c>
    </row>
    <row r="19" customFormat="false" ht="15" hidden="false" customHeight="false" outlineLevel="0" collapsed="false">
      <c r="A19" s="13" t="s">
        <v>52</v>
      </c>
      <c r="B19" s="13" t="n">
        <v>21</v>
      </c>
      <c r="C19" s="14" t="s">
        <v>53</v>
      </c>
    </row>
    <row r="21" customFormat="false" ht="15" hidden="false" customHeight="false" outlineLevel="0" collapsed="false">
      <c r="A21" s="12" t="s">
        <v>54</v>
      </c>
    </row>
    <row r="22" customFormat="false" ht="15" hidden="false" customHeight="false" outlineLevel="0" collapsed="false">
      <c r="A22" s="13" t="s">
        <v>55</v>
      </c>
      <c r="B22" s="13" t="n">
        <v>0.0015</v>
      </c>
      <c r="C22" s="14" t="s">
        <v>56</v>
      </c>
    </row>
    <row r="23" customFormat="false" ht="15" hidden="false" customHeight="false" outlineLevel="0" collapsed="false">
      <c r="A23" s="13" t="s">
        <v>57</v>
      </c>
      <c r="B23" s="13" t="n">
        <v>0.0025</v>
      </c>
      <c r="C23" s="14" t="s">
        <v>58</v>
      </c>
    </row>
    <row r="24" customFormat="false" ht="15" hidden="false" customHeight="false" outlineLevel="0" collapsed="false">
      <c r="A24" s="13" t="s">
        <v>59</v>
      </c>
      <c r="B24" s="13" t="n">
        <v>0.005</v>
      </c>
      <c r="C24" s="14" t="s">
        <v>60</v>
      </c>
    </row>
    <row r="25" customFormat="false" ht="15" hidden="false" customHeight="false" outlineLevel="0" collapsed="false">
      <c r="A25" s="13" t="s">
        <v>61</v>
      </c>
      <c r="B25" s="13" t="n">
        <v>0.02</v>
      </c>
      <c r="C25" s="14" t="s">
        <v>62</v>
      </c>
    </row>
    <row r="26" customFormat="false" ht="15" hidden="false" customHeight="false" outlineLevel="0" collapsed="false">
      <c r="A26" s="13" t="s">
        <v>63</v>
      </c>
      <c r="B26" s="13" t="n">
        <v>1.15</v>
      </c>
      <c r="C26" s="14" t="s">
        <v>64</v>
      </c>
    </row>
    <row r="27" customFormat="false" ht="15" hidden="false" customHeight="false" outlineLevel="0" collapsed="false">
      <c r="A27" s="13" t="s">
        <v>65</v>
      </c>
      <c r="B27" s="13" t="n">
        <v>0.4</v>
      </c>
      <c r="C27" s="14" t="s">
        <v>66</v>
      </c>
    </row>
    <row r="29" customFormat="false" ht="15" hidden="false" customHeight="false" outlineLevel="0" collapsed="false">
      <c r="A29" s="12" t="s">
        <v>67</v>
      </c>
    </row>
    <row r="30" customFormat="false" ht="15" hidden="false" customHeight="false" outlineLevel="0" collapsed="false">
      <c r="A30" s="13" t="s">
        <v>68</v>
      </c>
      <c r="B30" s="13" t="n">
        <v>500</v>
      </c>
      <c r="C30" s="14" t="s">
        <v>69</v>
      </c>
    </row>
    <row r="31" customFormat="false" ht="15" hidden="false" customHeight="false" outlineLevel="0" collapsed="false">
      <c r="A31" s="13" t="s">
        <v>70</v>
      </c>
      <c r="B31" s="13" t="n">
        <v>800</v>
      </c>
      <c r="C31" s="14" t="s">
        <v>71</v>
      </c>
    </row>
    <row r="32" customFormat="false" ht="15" hidden="false" customHeight="false" outlineLevel="0" collapsed="false">
      <c r="A32" s="13" t="s">
        <v>72</v>
      </c>
      <c r="B32" s="13" t="n">
        <v>1200</v>
      </c>
      <c r="C32" s="14" t="s">
        <v>73</v>
      </c>
    </row>
    <row r="33" customFormat="false" ht="15" hidden="false" customHeight="false" outlineLevel="0" collapsed="false">
      <c r="A33" s="13" t="s">
        <v>74</v>
      </c>
      <c r="B33" s="13" t="n">
        <v>0.08</v>
      </c>
      <c r="C33" s="14" t="s">
        <v>75</v>
      </c>
    </row>
    <row r="34" customFormat="false" ht="15" hidden="false" customHeight="false" outlineLevel="0" collapsed="false">
      <c r="A34" s="13" t="s">
        <v>76</v>
      </c>
      <c r="B34" s="13" t="n">
        <v>0.12</v>
      </c>
      <c r="C34" s="14" t="s">
        <v>77</v>
      </c>
    </row>
    <row r="35" customFormat="false" ht="15" hidden="false" customHeight="false" outlineLevel="0" collapsed="false">
      <c r="A35" s="13" t="s">
        <v>78</v>
      </c>
      <c r="B35" s="13" t="n">
        <v>0.15</v>
      </c>
      <c r="C35" s="14" t="s">
        <v>79</v>
      </c>
    </row>
    <row r="36" customFormat="false" ht="15" hidden="false" customHeight="false" outlineLevel="0" collapsed="false">
      <c r="A36" s="13" t="s">
        <v>80</v>
      </c>
      <c r="B36" s="13" t="n">
        <v>1.15</v>
      </c>
      <c r="C36" s="14" t="s">
        <v>81</v>
      </c>
    </row>
    <row r="37" customFormat="false" ht="15" hidden="false" customHeight="false" outlineLevel="0" collapsed="false">
      <c r="A37" s="13" t="s">
        <v>82</v>
      </c>
      <c r="B37" s="13" t="n">
        <v>1.08</v>
      </c>
      <c r="C37" s="14" t="s">
        <v>83</v>
      </c>
    </row>
    <row r="38" customFormat="false" ht="15" hidden="false" customHeight="false" outlineLevel="0" collapsed="false">
      <c r="A38" s="13" t="s">
        <v>84</v>
      </c>
      <c r="B38" s="13" t="n">
        <v>2</v>
      </c>
      <c r="C38" s="14" t="s">
        <v>85</v>
      </c>
    </row>
    <row r="39" customFormat="false" ht="15" hidden="false" customHeight="false" outlineLevel="0" collapsed="false">
      <c r="A39" s="13" t="s">
        <v>86</v>
      </c>
      <c r="B39" s="13" t="n">
        <v>200</v>
      </c>
      <c r="C39" s="14" t="s">
        <v>87</v>
      </c>
    </row>
    <row r="40" customFormat="false" ht="15" hidden="false" customHeight="false" outlineLevel="0" collapsed="false">
      <c r="A40" s="13" t="s">
        <v>88</v>
      </c>
      <c r="B40" s="13" t="n">
        <v>60</v>
      </c>
      <c r="C40" s="14" t="s">
        <v>89</v>
      </c>
    </row>
    <row r="42" customFormat="false" ht="15" hidden="false" customHeight="false" outlineLevel="0" collapsed="false">
      <c r="A42" s="12" t="s">
        <v>90</v>
      </c>
    </row>
    <row r="43" customFormat="false" ht="15" hidden="false" customHeight="false" outlineLevel="0" collapsed="false">
      <c r="A43" s="13" t="s">
        <v>91</v>
      </c>
      <c r="B43" s="13" t="n">
        <v>0.08</v>
      </c>
      <c r="C43" s="14" t="s">
        <v>92</v>
      </c>
    </row>
    <row r="44" customFormat="false" ht="15" hidden="false" customHeight="false" outlineLevel="0" collapsed="false">
      <c r="A44" s="13" t="s">
        <v>93</v>
      </c>
      <c r="B44" s="13" t="n">
        <v>0.06</v>
      </c>
      <c r="C44" s="14" t="s">
        <v>94</v>
      </c>
    </row>
    <row r="45" customFormat="false" ht="15" hidden="false" customHeight="false" outlineLevel="0" collapsed="false">
      <c r="A45" s="13" t="s">
        <v>95</v>
      </c>
      <c r="B45" s="13" t="n">
        <v>0.04</v>
      </c>
      <c r="C45" s="14" t="s">
        <v>96</v>
      </c>
    </row>
    <row r="46" customFormat="false" ht="15" hidden="false" customHeight="false" outlineLevel="0" collapsed="false">
      <c r="A46" s="13" t="s">
        <v>97</v>
      </c>
      <c r="B46" s="13" t="n">
        <v>0.02</v>
      </c>
      <c r="C46" s="14" t="s">
        <v>98</v>
      </c>
    </row>
    <row r="47" customFormat="false" ht="15" hidden="false" customHeight="false" outlineLevel="0" collapsed="false">
      <c r="A47" s="13" t="s">
        <v>99</v>
      </c>
      <c r="B47" s="13" t="n">
        <v>0.04</v>
      </c>
      <c r="C47" s="14" t="s">
        <v>100</v>
      </c>
    </row>
    <row r="49" customFormat="false" ht="15" hidden="false" customHeight="false" outlineLevel="0" collapsed="false">
      <c r="A49" s="12" t="s">
        <v>101</v>
      </c>
    </row>
    <row r="50" customFormat="false" ht="15" hidden="false" customHeight="false" outlineLevel="0" collapsed="false">
      <c r="A50" s="13" t="s">
        <v>102</v>
      </c>
      <c r="B50" s="13" t="n">
        <v>6</v>
      </c>
      <c r="C50" s="14" t="s">
        <v>103</v>
      </c>
    </row>
    <row r="51" customFormat="false" ht="15" hidden="false" customHeight="false" outlineLevel="0" collapsed="false">
      <c r="A51" s="13" t="s">
        <v>104</v>
      </c>
      <c r="B51" s="13" t="n">
        <v>0.001</v>
      </c>
      <c r="C51" s="14" t="s">
        <v>105</v>
      </c>
    </row>
    <row r="52" customFormat="false" ht="15" hidden="false" customHeight="false" outlineLevel="0" collapsed="false">
      <c r="A52" s="13" t="s">
        <v>106</v>
      </c>
      <c r="B52" s="13" t="n">
        <v>350</v>
      </c>
      <c r="C52" s="14" t="s">
        <v>107</v>
      </c>
    </row>
    <row r="64" customFormat="false" ht="15" hidden="false" customHeight="false" outlineLevel="0" collapsed="false">
      <c r="A64" s="12" t="s">
        <v>108</v>
      </c>
    </row>
    <row r="65" customFormat="false" ht="15" hidden="false" customHeight="false" outlineLevel="0" collapsed="false">
      <c r="A65" s="13" t="s">
        <v>109</v>
      </c>
      <c r="B65" s="13" t="n">
        <v>0.08</v>
      </c>
      <c r="C65" s="14" t="s">
        <v>110</v>
      </c>
    </row>
    <row r="66" customFormat="false" ht="15" hidden="false" customHeight="false" outlineLevel="0" collapsed="false">
      <c r="A66" s="13" t="s">
        <v>111</v>
      </c>
      <c r="B66" s="13" t="n">
        <v>0.01</v>
      </c>
      <c r="C66" s="14" t="s">
        <v>112</v>
      </c>
    </row>
    <row r="67" customFormat="false" ht="15" hidden="false" customHeight="false" outlineLevel="0" collapsed="false">
      <c r="A67" s="13" t="s">
        <v>113</v>
      </c>
      <c r="B67" s="13" t="n">
        <v>0.05</v>
      </c>
      <c r="C67" s="14" t="s">
        <v>114</v>
      </c>
    </row>
    <row r="68" customFormat="false" ht="15" hidden="false" customHeight="false" outlineLevel="0" collapsed="false">
      <c r="A68" s="13" t="s">
        <v>115</v>
      </c>
      <c r="B68" s="13" t="n">
        <v>3.5</v>
      </c>
      <c r="C68" s="14" t="s">
        <v>116</v>
      </c>
    </row>
    <row r="69" customFormat="false" ht="15" hidden="false" customHeight="false" outlineLevel="0" collapsed="false">
      <c r="A69" s="13" t="s">
        <v>117</v>
      </c>
      <c r="B69" s="13" t="n">
        <v>5</v>
      </c>
      <c r="C69" s="14" t="s">
        <v>118</v>
      </c>
    </row>
    <row r="70" customFormat="false" ht="15" hidden="false" customHeight="false" outlineLevel="0" collapsed="false">
      <c r="A70" s="13" t="s">
        <v>119</v>
      </c>
      <c r="B70" s="13" t="n">
        <v>31</v>
      </c>
      <c r="C70" s="14" t="s">
        <v>120</v>
      </c>
    </row>
    <row r="71" customFormat="false" ht="15" hidden="false" customHeight="false" outlineLevel="0" collapsed="false">
      <c r="A71" s="13" t="s">
        <v>121</v>
      </c>
      <c r="B71" s="13" t="n">
        <v>200</v>
      </c>
      <c r="C71" s="14" t="s">
        <v>122</v>
      </c>
    </row>
    <row r="72" customFormat="false" ht="15" hidden="false" customHeight="false" outlineLevel="0" collapsed="false">
      <c r="A72" s="13" t="s">
        <v>123</v>
      </c>
      <c r="B72" s="13" t="n">
        <v>500</v>
      </c>
      <c r="C72" s="14" t="s">
        <v>124</v>
      </c>
    </row>
    <row r="74" customFormat="false" ht="15" hidden="false" customHeight="false" outlineLevel="0" collapsed="false">
      <c r="A74" s="12" t="s">
        <v>125</v>
      </c>
    </row>
    <row r="75" customFormat="false" ht="15" hidden="false" customHeight="false" outlineLevel="0" collapsed="false">
      <c r="A75" s="13" t="s">
        <v>126</v>
      </c>
      <c r="B75" s="13" t="n">
        <v>0</v>
      </c>
      <c r="C75" s="14" t="s">
        <v>127</v>
      </c>
    </row>
    <row r="76" customFormat="false" ht="15" hidden="false" customHeight="false" outlineLevel="0" collapsed="false">
      <c r="A76" s="13" t="s">
        <v>128</v>
      </c>
      <c r="B76" s="13" t="n">
        <v>29</v>
      </c>
      <c r="C76" s="14" t="s">
        <v>129</v>
      </c>
    </row>
    <row r="77" customFormat="false" ht="15" hidden="false" customHeight="false" outlineLevel="0" collapsed="false">
      <c r="A77" s="13" t="s">
        <v>130</v>
      </c>
      <c r="B77" s="13" t="n">
        <v>6</v>
      </c>
      <c r="C77" s="14" t="s">
        <v>131</v>
      </c>
    </row>
    <row r="78" customFormat="false" ht="15" hidden="false" customHeight="false" outlineLevel="0" collapsed="false">
      <c r="A78" s="13" t="s">
        <v>132</v>
      </c>
      <c r="B78" s="13" t="n">
        <v>0</v>
      </c>
      <c r="C78" s="14" t="s">
        <v>133</v>
      </c>
    </row>
    <row r="80" customFormat="false" ht="15" hidden="false" customHeight="false" outlineLevel="0" collapsed="false">
      <c r="A80" s="12" t="s">
        <v>134</v>
      </c>
    </row>
    <row r="81" customFormat="false" ht="15" hidden="false" customHeight="false" outlineLevel="0" collapsed="false">
      <c r="A81" s="13" t="s">
        <v>135</v>
      </c>
      <c r="B81" s="13" t="n">
        <v>20</v>
      </c>
      <c r="C81" s="14" t="s">
        <v>136</v>
      </c>
    </row>
    <row r="82" customFormat="false" ht="15" hidden="false" customHeight="false" outlineLevel="0" collapsed="false">
      <c r="A82" s="13" t="s">
        <v>137</v>
      </c>
      <c r="B82" s="13" t="n">
        <v>20</v>
      </c>
      <c r="C82" s="14" t="s">
        <v>138</v>
      </c>
    </row>
    <row r="83" customFormat="false" ht="15" hidden="false" customHeight="false" outlineLevel="0" collapsed="false">
      <c r="A83" s="13" t="s">
        <v>139</v>
      </c>
      <c r="B83" s="13" t="n">
        <v>0</v>
      </c>
      <c r="C83" s="14" t="s">
        <v>140</v>
      </c>
    </row>
    <row r="84" customFormat="false" ht="15" hidden="false" customHeight="false" outlineLevel="0" collapsed="false">
      <c r="A84" s="13" t="s">
        <v>141</v>
      </c>
      <c r="B84" s="13" t="n">
        <v>42</v>
      </c>
      <c r="C84" s="14" t="s">
        <v>142</v>
      </c>
    </row>
    <row r="85" customFormat="false" ht="15" hidden="false" customHeight="false" outlineLevel="0" collapsed="false">
      <c r="A85" s="13" t="s">
        <v>143</v>
      </c>
      <c r="B85" s="13" t="n">
        <v>0.029</v>
      </c>
      <c r="C85" s="14" t="s">
        <v>144</v>
      </c>
    </row>
    <row r="86" customFormat="false" ht="15" hidden="false" customHeight="false" outlineLevel="0" collapsed="false">
      <c r="A86" s="13" t="s">
        <v>145</v>
      </c>
      <c r="B86" s="13" t="n">
        <v>0.3</v>
      </c>
      <c r="C86" s="14" t="s">
        <v>146</v>
      </c>
    </row>
    <row r="87" customFormat="false" ht="15" hidden="false" customHeight="false" outlineLevel="0" collapsed="false">
      <c r="A87" s="13" t="s">
        <v>147</v>
      </c>
      <c r="B87" s="13" t="n">
        <v>120</v>
      </c>
      <c r="C87" s="14" t="s">
        <v>148</v>
      </c>
    </row>
    <row r="93" customFormat="false" ht="15" hidden="false" customHeight="false" outlineLevel="0" collapsed="false">
      <c r="A93" s="12" t="s">
        <v>149</v>
      </c>
    </row>
    <row r="94" customFormat="false" ht="15" hidden="false" customHeight="false" outlineLevel="0" collapsed="false">
      <c r="A94" s="13" t="s">
        <v>150</v>
      </c>
      <c r="B94" s="13" t="n">
        <v>2250</v>
      </c>
      <c r="C94" s="14" t="s">
        <v>151</v>
      </c>
    </row>
    <row r="95" customFormat="false" ht="15" hidden="false" customHeight="false" outlineLevel="0" collapsed="false">
      <c r="A95" s="13" t="s">
        <v>152</v>
      </c>
      <c r="B95" s="13" t="n">
        <v>500</v>
      </c>
      <c r="C95" s="14" t="s">
        <v>153</v>
      </c>
    </row>
    <row r="96" customFormat="false" ht="15" hidden="false" customHeight="false" outlineLevel="0" collapsed="false">
      <c r="A96" s="13" t="s">
        <v>154</v>
      </c>
      <c r="B96" s="13" t="n">
        <v>500</v>
      </c>
      <c r="C96" s="14" t="s">
        <v>155</v>
      </c>
    </row>
    <row r="97" customFormat="false" ht="15" hidden="false" customHeight="false" outlineLevel="0" collapsed="false">
      <c r="A97" s="13" t="s">
        <v>156</v>
      </c>
      <c r="B97" s="11" t="n">
        <f aca="false">B94+B95+B96</f>
        <v>3250</v>
      </c>
      <c r="C97" s="14" t="s">
        <v>157</v>
      </c>
    </row>
    <row r="101" customFormat="false" ht="15" hidden="false" customHeight="false" outlineLevel="0" collapsed="false">
      <c r="A101" s="12" t="s">
        <v>158</v>
      </c>
    </row>
    <row r="102" customFormat="false" ht="15" hidden="false" customHeight="false" outlineLevel="0" collapsed="false">
      <c r="A102" s="13" t="s">
        <v>159</v>
      </c>
      <c r="B102" s="13" t="n">
        <v>10000</v>
      </c>
      <c r="C102" s="14" t="s">
        <v>160</v>
      </c>
    </row>
    <row r="103" customFormat="false" ht="15" hidden="false" customHeight="false" outlineLevel="0" collapsed="false">
      <c r="A103" s="13" t="s">
        <v>161</v>
      </c>
      <c r="B103" s="13" t="n">
        <v>25000</v>
      </c>
      <c r="C103" s="14" t="s">
        <v>162</v>
      </c>
    </row>
    <row r="104" customFormat="false" ht="15" hidden="false" customHeight="false" outlineLevel="0" collapsed="false">
      <c r="A104" s="13" t="s">
        <v>163</v>
      </c>
      <c r="B104" s="13" t="n">
        <v>40000</v>
      </c>
      <c r="C104" s="14" t="s">
        <v>164</v>
      </c>
    </row>
    <row r="105" customFormat="false" ht="15" hidden="false" customHeight="false" outlineLevel="0" collapsed="false">
      <c r="A105" s="13" t="s">
        <v>165</v>
      </c>
      <c r="B105" s="13" t="n">
        <v>65000</v>
      </c>
      <c r="C105" s="14" t="s">
        <v>166</v>
      </c>
    </row>
    <row r="106" customFormat="false" ht="15" hidden="false" customHeight="false" outlineLevel="0" collapsed="false">
      <c r="A106" s="13" t="s">
        <v>167</v>
      </c>
      <c r="B106" s="13" t="n">
        <v>110000</v>
      </c>
      <c r="C106" s="14" t="s">
        <v>168</v>
      </c>
    </row>
    <row r="107" customFormat="false" ht="15" hidden="false" customHeight="false" outlineLevel="0" collapsed="false">
      <c r="A107" s="13" t="s">
        <v>169</v>
      </c>
      <c r="B107" s="13" t="n">
        <v>175000</v>
      </c>
      <c r="C107" s="14" t="s">
        <v>170</v>
      </c>
    </row>
    <row r="108" customFormat="false" ht="15" hidden="false" customHeight="false" outlineLevel="0" collapsed="false">
      <c r="A108" s="13" t="s">
        <v>171</v>
      </c>
      <c r="B108" s="13" t="n">
        <v>5000</v>
      </c>
      <c r="C108" s="14" t="s">
        <v>172</v>
      </c>
    </row>
    <row r="109" customFormat="false" ht="15" hidden="false" customHeight="false" outlineLevel="0" collapsed="false">
      <c r="A109" s="13" t="s">
        <v>173</v>
      </c>
      <c r="B109" s="13" t="n">
        <v>15000</v>
      </c>
      <c r="C109" s="14" t="s">
        <v>174</v>
      </c>
    </row>
    <row r="111" customFormat="false" ht="15" hidden="false" customHeight="false" outlineLevel="0" collapsed="false">
      <c r="A111" s="12" t="s">
        <v>175</v>
      </c>
    </row>
    <row r="112" customFormat="false" ht="15" hidden="false" customHeight="false" outlineLevel="0" collapsed="false">
      <c r="A112" s="13" t="s">
        <v>176</v>
      </c>
      <c r="B112" s="13" t="n">
        <v>0</v>
      </c>
      <c r="C112" s="14" t="s">
        <v>177</v>
      </c>
    </row>
    <row r="113" customFormat="false" ht="15" hidden="false" customHeight="false" outlineLevel="0" collapsed="false">
      <c r="A113" s="13" t="s">
        <v>178</v>
      </c>
      <c r="B113" s="13" t="n">
        <v>0.236</v>
      </c>
      <c r="C113" s="14" t="s">
        <v>179</v>
      </c>
    </row>
    <row r="114" customFormat="false" ht="15" hidden="false" customHeight="false" outlineLevel="0" collapsed="false">
      <c r="A114" s="13" t="s">
        <v>180</v>
      </c>
      <c r="B114" s="13" t="n">
        <v>0.382</v>
      </c>
      <c r="C114" s="14" t="s">
        <v>181</v>
      </c>
    </row>
    <row r="115" customFormat="false" ht="15" hidden="false" customHeight="false" outlineLevel="0" collapsed="false">
      <c r="A115" s="13" t="s">
        <v>182</v>
      </c>
      <c r="B115" s="13" t="n">
        <v>0.618</v>
      </c>
      <c r="C115" s="14" t="s">
        <v>183</v>
      </c>
    </row>
    <row r="116" customFormat="false" ht="15" hidden="false" customHeight="false" outlineLevel="0" collapsed="false">
      <c r="A116" s="13" t="s">
        <v>184</v>
      </c>
      <c r="B116" s="13" t="n">
        <v>0.2</v>
      </c>
      <c r="C116" s="14" t="s">
        <v>185</v>
      </c>
    </row>
    <row r="117" customFormat="false" ht="15" hidden="false" customHeight="false" outlineLevel="0" collapsed="false">
      <c r="A117" s="13" t="s">
        <v>186</v>
      </c>
      <c r="B117" s="13" t="n">
        <v>3</v>
      </c>
      <c r="C117" s="14" t="s">
        <v>187</v>
      </c>
    </row>
    <row r="118" customFormat="false" ht="15" hidden="false" customHeight="false" outlineLevel="0" collapsed="false">
      <c r="A118" s="13" t="s">
        <v>188</v>
      </c>
      <c r="B118" s="13" t="n">
        <v>6</v>
      </c>
      <c r="C118" s="14" t="s">
        <v>189</v>
      </c>
    </row>
    <row r="119" customFormat="false" ht="15" hidden="false" customHeight="false" outlineLevel="0" collapsed="false">
      <c r="A119" s="13" t="s">
        <v>190</v>
      </c>
      <c r="B119" s="13" t="n">
        <v>12</v>
      </c>
      <c r="C119" s="14" t="s">
        <v>191</v>
      </c>
    </row>
    <row r="121" customFormat="false" ht="15" hidden="false" customHeight="false" outlineLevel="0" collapsed="false">
      <c r="A121" s="12" t="s">
        <v>192</v>
      </c>
    </row>
    <row r="122" customFormat="false" ht="15" hidden="false" customHeight="false" outlineLevel="0" collapsed="false">
      <c r="A122" s="13" t="s">
        <v>193</v>
      </c>
      <c r="B122" s="13" t="n">
        <v>4</v>
      </c>
      <c r="C122" s="14" t="s">
        <v>194</v>
      </c>
    </row>
    <row r="123" customFormat="false" ht="15" hidden="false" customHeight="false" outlineLevel="0" collapsed="false">
      <c r="A123" s="13" t="s">
        <v>195</v>
      </c>
      <c r="B123" s="13" t="n">
        <v>6</v>
      </c>
      <c r="C123" s="14" t="s">
        <v>196</v>
      </c>
    </row>
    <row r="124" customFormat="false" ht="15" hidden="false" customHeight="false" outlineLevel="0" collapsed="false">
      <c r="A124" s="13" t="s">
        <v>197</v>
      </c>
      <c r="B124" s="13" t="n">
        <v>0.35</v>
      </c>
      <c r="C124" s="14" t="s">
        <v>198</v>
      </c>
    </row>
    <row r="125" customFormat="false" ht="15" hidden="false" customHeight="false" outlineLevel="0" collapsed="false">
      <c r="A125" s="13" t="s">
        <v>199</v>
      </c>
      <c r="B125" s="13" t="n">
        <v>6</v>
      </c>
      <c r="C125" s="14" t="s">
        <v>200</v>
      </c>
    </row>
    <row r="126" customFormat="false" ht="15" hidden="false" customHeight="false" outlineLevel="0" collapsed="false">
      <c r="A126" s="13" t="s">
        <v>201</v>
      </c>
      <c r="B126" s="13" t="n">
        <v>8</v>
      </c>
      <c r="C126" s="14" t="s">
        <v>202</v>
      </c>
    </row>
    <row r="127" customFormat="false" ht="15" hidden="false" customHeight="false" outlineLevel="0" collapsed="false">
      <c r="A127" s="13" t="s">
        <v>203</v>
      </c>
      <c r="B127" s="13" t="n">
        <v>0.55</v>
      </c>
      <c r="C127" s="14" t="s">
        <v>204</v>
      </c>
    </row>
    <row r="128" customFormat="false" ht="15" hidden="false" customHeight="false" outlineLevel="0" collapsed="false">
      <c r="A128" s="13" t="s">
        <v>205</v>
      </c>
      <c r="B128" s="13" t="n">
        <v>8</v>
      </c>
      <c r="C128" s="14" t="s">
        <v>202</v>
      </c>
    </row>
    <row r="129" customFormat="false" ht="15" hidden="false" customHeight="false" outlineLevel="0" collapsed="false">
      <c r="A129" s="13" t="s">
        <v>206</v>
      </c>
      <c r="B129" s="13" t="n">
        <v>10</v>
      </c>
      <c r="C129" s="14" t="s">
        <v>207</v>
      </c>
    </row>
    <row r="130" customFormat="false" ht="15" hidden="false" customHeight="false" outlineLevel="0" collapsed="false">
      <c r="A130" s="13" t="s">
        <v>208</v>
      </c>
      <c r="B130" s="13" t="n">
        <v>0.75</v>
      </c>
      <c r="C130" s="14" t="s">
        <v>209</v>
      </c>
    </row>
    <row r="131" customFormat="false" ht="15" hidden="false" customHeight="false" outlineLevel="0" collapsed="false">
      <c r="A131" s="13" t="s">
        <v>210</v>
      </c>
      <c r="B131" s="13" t="n">
        <v>8</v>
      </c>
      <c r="C131" s="14" t="s">
        <v>202</v>
      </c>
    </row>
    <row r="132" customFormat="false" ht="15" hidden="false" customHeight="false" outlineLevel="0" collapsed="false">
      <c r="A132" s="13" t="s">
        <v>211</v>
      </c>
      <c r="B132" s="13" t="n">
        <v>12</v>
      </c>
      <c r="C132" s="14" t="s">
        <v>212</v>
      </c>
    </row>
    <row r="133" customFormat="false" ht="15" hidden="false" customHeight="false" outlineLevel="0" collapsed="false">
      <c r="A133" s="13" t="s">
        <v>213</v>
      </c>
      <c r="B133" s="13" t="n">
        <v>0.85</v>
      </c>
      <c r="C133" s="14" t="s">
        <v>214</v>
      </c>
    </row>
    <row r="135" customFormat="false" ht="15" hidden="false" customHeight="false" outlineLevel="0" collapsed="false">
      <c r="A135" s="12" t="s">
        <v>215</v>
      </c>
    </row>
    <row r="136" customFormat="false" ht="15" hidden="false" customHeight="false" outlineLevel="0" collapsed="false">
      <c r="A136" s="13" t="s">
        <v>216</v>
      </c>
      <c r="B136" s="13" t="n">
        <v>13</v>
      </c>
      <c r="C136" s="14" t="s">
        <v>217</v>
      </c>
    </row>
    <row r="137" customFormat="false" ht="15" hidden="false" customHeight="false" outlineLevel="0" collapsed="false">
      <c r="A137" s="13" t="s">
        <v>218</v>
      </c>
      <c r="B137" s="13" t="n">
        <v>0.08</v>
      </c>
      <c r="C137" s="14" t="s">
        <v>219</v>
      </c>
    </row>
    <row r="138" customFormat="false" ht="15" hidden="false" customHeight="false" outlineLevel="0" collapsed="false">
      <c r="A138" s="13" t="s">
        <v>220</v>
      </c>
      <c r="B138" s="13" t="n">
        <v>0.15</v>
      </c>
      <c r="C138" s="14" t="s">
        <v>221</v>
      </c>
    </row>
    <row r="139" customFormat="false" ht="15" hidden="false" customHeight="false" outlineLevel="0" collapsed="false">
      <c r="A139" s="13" t="s">
        <v>222</v>
      </c>
      <c r="B139" s="13" t="n">
        <v>0.25</v>
      </c>
      <c r="C139" s="14" t="s">
        <v>223</v>
      </c>
    </row>
    <row r="140" customFormat="false" ht="15" hidden="false" customHeight="false" outlineLevel="0" collapsed="false">
      <c r="A140" s="13" t="s">
        <v>224</v>
      </c>
      <c r="B140" s="13" t="n">
        <v>0.2</v>
      </c>
      <c r="C140" s="14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7" min="4" style="0" width="10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4" min="12" style="0" width="12"/>
    <col collapsed="false" customWidth="true" hidden="false" outlineLevel="0" max="15" min="15" style="0" width="10"/>
    <col collapsed="false" customWidth="true" hidden="false" outlineLevel="0" max="20" min="16" style="0" width="1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4" min="23" style="0" width="14"/>
  </cols>
  <sheetData>
    <row r="1" customFormat="false" ht="15" hidden="false" customHeight="false" outlineLevel="0" collapsed="false">
      <c r="A1" s="15" t="s">
        <v>226</v>
      </c>
    </row>
    <row r="2" customFormat="false" ht="15" hidden="false" customHeight="false" outlineLevel="0" collapsed="false">
      <c r="A2" s="2" t="s">
        <v>227</v>
      </c>
    </row>
    <row r="3" customFormat="false" ht="15" hidden="false" customHeight="false" outlineLevel="0" collapsed="false">
      <c r="A3" s="16" t="s">
        <v>228</v>
      </c>
    </row>
    <row r="5" customFormat="false" ht="30" hidden="false" customHeight="true" outlineLevel="0" collapsed="false">
      <c r="A5" s="17" t="s">
        <v>229</v>
      </c>
      <c r="B5" s="17" t="s">
        <v>230</v>
      </c>
      <c r="C5" s="17" t="s">
        <v>231</v>
      </c>
      <c r="D5" s="17" t="s">
        <v>232</v>
      </c>
      <c r="E5" s="17" t="s">
        <v>233</v>
      </c>
      <c r="F5" s="17" t="s">
        <v>234</v>
      </c>
      <c r="G5" s="17" t="s">
        <v>235</v>
      </c>
      <c r="H5" s="17" t="s">
        <v>236</v>
      </c>
      <c r="I5" s="17" t="s">
        <v>237</v>
      </c>
      <c r="J5" s="17" t="s">
        <v>238</v>
      </c>
      <c r="K5" s="17" t="s">
        <v>239</v>
      </c>
      <c r="L5" s="17" t="s">
        <v>240</v>
      </c>
      <c r="M5" s="17" t="s">
        <v>241</v>
      </c>
      <c r="N5" s="17" t="s">
        <v>242</v>
      </c>
      <c r="O5" s="17" t="s">
        <v>243</v>
      </c>
      <c r="P5" s="17" t="s">
        <v>244</v>
      </c>
      <c r="Q5" s="17" t="s">
        <v>245</v>
      </c>
      <c r="R5" s="17" t="s">
        <v>246</v>
      </c>
      <c r="S5" s="17" t="s">
        <v>247</v>
      </c>
      <c r="T5" s="17" t="s">
        <v>248</v>
      </c>
      <c r="U5" s="17" t="s">
        <v>249</v>
      </c>
      <c r="V5" s="17" t="s">
        <v>250</v>
      </c>
      <c r="W5" s="17" t="s">
        <v>251</v>
      </c>
      <c r="X5" s="17" t="s">
        <v>252</v>
      </c>
    </row>
    <row r="6" customFormat="false" ht="15" hidden="false" customHeight="false" outlineLevel="0" collapsed="false">
      <c r="A6" s="18" t="n">
        <v>1</v>
      </c>
      <c r="B6" s="6" t="n">
        <f aca="false">Assumptions!B30</f>
        <v>500</v>
      </c>
      <c r="C6" s="6" t="n">
        <f aca="false">ROUND(B6*Assumptions!B25,0)</f>
        <v>10</v>
      </c>
      <c r="D6" s="6" t="n">
        <f aca="false">ROUND(B6*Assumptions!B22,0)</f>
        <v>1</v>
      </c>
      <c r="E6" s="18" t="n">
        <f aca="false">D6</f>
        <v>1</v>
      </c>
      <c r="F6" s="18" t="n">
        <f aca="false">0</f>
        <v>0</v>
      </c>
      <c r="G6" s="18" t="n">
        <f aca="false">D6-F6</f>
        <v>1</v>
      </c>
      <c r="H6" s="18" t="n">
        <f aca="false">ROUND(E6*Assumptions!B14,0)</f>
        <v>8</v>
      </c>
      <c r="I6" s="18" t="n">
        <f aca="false">H6</f>
        <v>8</v>
      </c>
      <c r="J6" s="6" t="n">
        <f aca="false">ROUND(E6*Assumptions!B68,0)</f>
        <v>4</v>
      </c>
      <c r="K6" s="6" t="n">
        <f aca="false">ROUND(J6*Assumptions!B65,0)</f>
        <v>0</v>
      </c>
      <c r="L6" s="6" t="n">
        <f aca="false">Assumptions!B70+IF(E6&gt;Assumptions!B72,45,0)</f>
        <v>31</v>
      </c>
      <c r="M6" s="6" t="n">
        <f aca="false">Assumptions!B94+Assumptions!B95+Assumptions!B76+Assumptions!B77</f>
        <v>2785</v>
      </c>
      <c r="N6" s="6" t="n">
        <f aca="false">Assumptions!B81+Assumptions!B82+Assumptions!B87/12</f>
        <v>50</v>
      </c>
      <c r="O6" s="6" t="n">
        <f aca="false">ROUND(I6*Assumptions!B85+E6*Assumptions!B86+W6*Assumptions!B85+ROUND(B6*Assumptions!B137*Assumptions!B138*Assumptions!B139,0)*Assumptions!B86,0)</f>
        <v>2</v>
      </c>
      <c r="P6" s="18" t="n">
        <f aca="false">K6+L6+M6+N6+O6+X6</f>
        <v>2871</v>
      </c>
      <c r="Q6" s="18" t="n">
        <f aca="false">I6-P6</f>
        <v>-2863</v>
      </c>
      <c r="R6" s="18" t="n">
        <f aca="false">0</f>
        <v>0</v>
      </c>
      <c r="S6" s="18" t="n">
        <f aca="false">I6+R6+W6</f>
        <v>28</v>
      </c>
      <c r="T6" s="18" t="n">
        <f aca="false">IF(U6&lt;P6*3,0,IF(U6&lt;P6*6,ROUND((Q6+R6+W6)*0.75*Assumptions!B113,0),ROUND((Q6+R6+W6)*0.75*Assumptions!B114,0)))</f>
        <v>0</v>
      </c>
      <c r="U6" s="18" t="n">
        <f aca="false">Q6+R6+W6</f>
        <v>-2843</v>
      </c>
      <c r="V6" s="19" t="str">
        <f aca="false">IF(B6&gt;=Assumptions!B107,"Signal 6",IF(B6&gt;=Assumptions!B106,"Signal 5",IF(B6&gt;=Assumptions!B105,"Signal 4",IF(B6&gt;=Assumptions!B104,"Signal 3",IF(B6&gt;=Assumptions!B103,"Signal 2",IF(B6&gt;=Assumptions!B102,"Signal 1","Pre-Signal 1"))))))</f>
        <v>Pre-Signal 1</v>
      </c>
      <c r="W6" s="6" t="n">
        <f aca="false">ROUND(B6*Assumptions!B137*Assumptions!B138*Assumptions!B139*Assumptions!B136,0)</f>
        <v>20</v>
      </c>
      <c r="X6" s="6" t="n">
        <f aca="false">ROUND(B6*Assumptions!B137*Assumptions!B65,0)</f>
        <v>3</v>
      </c>
    </row>
    <row r="7" customFormat="false" ht="15" hidden="false" customHeight="false" outlineLevel="0" collapsed="false">
      <c r="A7" s="20" t="n">
        <v>2</v>
      </c>
      <c r="B7" s="8" t="n">
        <f aca="false">B6*(1+Assumptions!B33)</f>
        <v>540</v>
      </c>
      <c r="C7" s="8" t="n">
        <f aca="false">ROUND(B7*Assumptions!B25,0)</f>
        <v>11</v>
      </c>
      <c r="D7" s="8" t="n">
        <f aca="false">ROUND(B7*Assumptions!B22,0)</f>
        <v>1</v>
      </c>
      <c r="E7" s="20" t="n">
        <f aca="false">E6+D7-F7</f>
        <v>2</v>
      </c>
      <c r="F7" s="8" t="n">
        <f aca="false">ROUND(E6*Assumptions!B43,0)</f>
        <v>0</v>
      </c>
      <c r="G7" s="20" t="n">
        <f aca="false">D7-F7</f>
        <v>1</v>
      </c>
      <c r="H7" s="20" t="n">
        <f aca="false">ROUND(E7*Assumptions!B14,0)</f>
        <v>16</v>
      </c>
      <c r="I7" s="20" t="n">
        <f aca="false">H7</f>
        <v>16</v>
      </c>
      <c r="J7" s="8" t="n">
        <f aca="false">ROUND(E7*Assumptions!B68,0)</f>
        <v>7</v>
      </c>
      <c r="K7" s="8" t="n">
        <f aca="false">ROUND(J7*Assumptions!B65,0)</f>
        <v>1</v>
      </c>
      <c r="L7" s="8" t="n">
        <f aca="false">Assumptions!B70+IF(E7&gt;Assumptions!B72,45,0)</f>
        <v>31</v>
      </c>
      <c r="M7" s="8" t="n">
        <f aca="false">Assumptions!B76+Assumptions!B77</f>
        <v>35</v>
      </c>
      <c r="N7" s="8" t="n">
        <f aca="false">Assumptions!B81+Assumptions!B82+Assumptions!B87/12</f>
        <v>50</v>
      </c>
      <c r="O7" s="8" t="n">
        <f aca="false">ROUND(I7*Assumptions!B85+E7*Assumptions!B86+W7*Assumptions!B85+ROUND(B7*Assumptions!B137*Assumptions!B138*Assumptions!B139,0)*Assumptions!B86,0)</f>
        <v>2</v>
      </c>
      <c r="P7" s="20" t="n">
        <f aca="false">K7+L7+M7+N7+O7+X7</f>
        <v>122</v>
      </c>
      <c r="Q7" s="20" t="n">
        <f aca="false">I7-P7</f>
        <v>-106</v>
      </c>
      <c r="R7" s="20" t="n">
        <f aca="false">0</f>
        <v>0</v>
      </c>
      <c r="S7" s="20" t="n">
        <f aca="false">I7+R7+W7</f>
        <v>37</v>
      </c>
      <c r="T7" s="20" t="n">
        <f aca="false">IF(U7&lt;P7*3,0,IF(U7&lt;P7*6,ROUND((Q7+R7+W7)*0.75*Assumptions!B113,0),ROUND((Q7+R7+W7)*0.75*Assumptions!B114,0)))</f>
        <v>0</v>
      </c>
      <c r="U7" s="20" t="n">
        <f aca="false">U6+Q7+R7+W7</f>
        <v>-2928</v>
      </c>
      <c r="V7" s="21" t="str">
        <f aca="false">IF(B7&gt;=Assumptions!B107,"Signal 6",IF(B7&gt;=Assumptions!B106,"Signal 5",IF(B7&gt;=Assumptions!B105,"Signal 4",IF(B7&gt;=Assumptions!B104,"Signal 3",IF(B7&gt;=Assumptions!B103,"Signal 2",IF(B7&gt;=Assumptions!B102,"Signal 1","Pre-Signal 1"))))))</f>
        <v>Pre-Signal 1</v>
      </c>
      <c r="W7" s="8" t="n">
        <f aca="false">ROUND(B7*Assumptions!B137*Assumptions!B138*Assumptions!B139*Assumptions!B136,0)</f>
        <v>21</v>
      </c>
      <c r="X7" s="8" t="n">
        <f aca="false">ROUND(B7*Assumptions!B137*Assumptions!B65,0)</f>
        <v>3</v>
      </c>
    </row>
    <row r="8" customFormat="false" ht="15" hidden="false" customHeight="false" outlineLevel="0" collapsed="false">
      <c r="A8" s="18" t="n">
        <v>3</v>
      </c>
      <c r="B8" s="6" t="n">
        <f aca="false">B7*(1+Assumptions!B33)*Assumptions!B36</f>
        <v>670.68</v>
      </c>
      <c r="C8" s="6" t="n">
        <f aca="false">ROUND(B8*Assumptions!B25,0)</f>
        <v>13</v>
      </c>
      <c r="D8" s="6" t="n">
        <f aca="false">ROUND(B8*Assumptions!B22,0)</f>
        <v>1</v>
      </c>
      <c r="E8" s="18" t="n">
        <f aca="false">E7+D8-F8</f>
        <v>3</v>
      </c>
      <c r="F8" s="6" t="n">
        <f aca="false">ROUND(E7*Assumptions!B43,0)</f>
        <v>0</v>
      </c>
      <c r="G8" s="18" t="n">
        <f aca="false">D8-F8</f>
        <v>1</v>
      </c>
      <c r="H8" s="18" t="n">
        <f aca="false">ROUND(E8*Assumptions!B14,0)</f>
        <v>24</v>
      </c>
      <c r="I8" s="18" t="n">
        <f aca="false">H8</f>
        <v>24</v>
      </c>
      <c r="J8" s="6" t="n">
        <f aca="false">ROUND(E8*Assumptions!B68,0)</f>
        <v>11</v>
      </c>
      <c r="K8" s="6" t="n">
        <f aca="false">ROUND(J8*Assumptions!B65,0)</f>
        <v>1</v>
      </c>
      <c r="L8" s="6" t="n">
        <f aca="false">Assumptions!B70+IF(E8&gt;Assumptions!B72,45,0)</f>
        <v>31</v>
      </c>
      <c r="M8" s="6" t="n">
        <f aca="false">Assumptions!B76+Assumptions!B77</f>
        <v>35</v>
      </c>
      <c r="N8" s="6" t="n">
        <f aca="false">Assumptions!B81+Assumptions!B82+Assumptions!B87/12</f>
        <v>50</v>
      </c>
      <c r="O8" s="6" t="n">
        <f aca="false">ROUND(I8*Assumptions!B85+E8*Assumptions!B86+W8*Assumptions!B85+ROUND(B8*Assumptions!B137*Assumptions!B138*Assumptions!B139,0)*Assumptions!B86,0)</f>
        <v>3</v>
      </c>
      <c r="P8" s="18" t="n">
        <f aca="false">K8+L8+M8+N8+O8+X8</f>
        <v>124</v>
      </c>
      <c r="Q8" s="18" t="n">
        <f aca="false">I8-P8</f>
        <v>-100</v>
      </c>
      <c r="R8" s="18" t="n">
        <f aca="false">0</f>
        <v>0</v>
      </c>
      <c r="S8" s="18" t="n">
        <f aca="false">I8+R8+W8</f>
        <v>50</v>
      </c>
      <c r="T8" s="18" t="n">
        <f aca="false">IF(U8&lt;P8*3,0,IF(U8&lt;P8*6,ROUND((Q8+R8+W8)*0.75*Assumptions!B113,0),ROUND((Q8+R8+W8)*0.75*Assumptions!B114,0)))</f>
        <v>0</v>
      </c>
      <c r="U8" s="18" t="n">
        <f aca="false">U7+Q8+R8+W8</f>
        <v>-3002</v>
      </c>
      <c r="V8" s="19" t="str">
        <f aca="false">IF(B8&gt;=Assumptions!B107,"Signal 6",IF(B8&gt;=Assumptions!B106,"Signal 5",IF(B8&gt;=Assumptions!B105,"Signal 4",IF(B8&gt;=Assumptions!B104,"Signal 3",IF(B8&gt;=Assumptions!B103,"Signal 2",IF(B8&gt;=Assumptions!B102,"Signal 1","Pre-Signal 1"))))))</f>
        <v>Pre-Signal 1</v>
      </c>
      <c r="W8" s="6" t="n">
        <f aca="false">ROUND(B8*Assumptions!B137*Assumptions!B138*Assumptions!B139*Assumptions!B136,0)</f>
        <v>26</v>
      </c>
      <c r="X8" s="6" t="n">
        <f aca="false">ROUND(B8*Assumptions!B137*Assumptions!B65,0)</f>
        <v>4</v>
      </c>
    </row>
    <row r="9" customFormat="false" ht="15" hidden="false" customHeight="false" outlineLevel="0" collapsed="false">
      <c r="A9" s="20" t="n">
        <v>4</v>
      </c>
      <c r="B9" s="8" t="n">
        <f aca="false">B8*(1+Assumptions!B33)</f>
        <v>724.3344</v>
      </c>
      <c r="C9" s="8" t="n">
        <f aca="false">ROUND(B9*Assumptions!B25,0)</f>
        <v>14</v>
      </c>
      <c r="D9" s="8" t="n">
        <f aca="false">ROUND(B9*Assumptions!B22,0)</f>
        <v>1</v>
      </c>
      <c r="E9" s="20" t="n">
        <f aca="false">E8+D9-F9</f>
        <v>4</v>
      </c>
      <c r="F9" s="8" t="n">
        <f aca="false">ROUND(E8*Assumptions!B43,0)</f>
        <v>0</v>
      </c>
      <c r="G9" s="20" t="n">
        <f aca="false">D9-F9</f>
        <v>1</v>
      </c>
      <c r="H9" s="20" t="n">
        <f aca="false">ROUND(E9*Assumptions!B14,0)</f>
        <v>32</v>
      </c>
      <c r="I9" s="20" t="n">
        <f aca="false">H9</f>
        <v>32</v>
      </c>
      <c r="J9" s="8" t="n">
        <f aca="false">ROUND(E9*Assumptions!B68,0)</f>
        <v>14</v>
      </c>
      <c r="K9" s="8" t="n">
        <f aca="false">ROUND(J9*Assumptions!B65,0)</f>
        <v>1</v>
      </c>
      <c r="L9" s="8" t="n">
        <f aca="false">Assumptions!B70+IF(E9&gt;Assumptions!B72,45,0)</f>
        <v>31</v>
      </c>
      <c r="M9" s="8" t="n">
        <f aca="false">Assumptions!B76+Assumptions!B77</f>
        <v>35</v>
      </c>
      <c r="N9" s="8" t="n">
        <f aca="false">Assumptions!B81+Assumptions!B82+Assumptions!B87/12</f>
        <v>50</v>
      </c>
      <c r="O9" s="8" t="n">
        <f aca="false">ROUND(I9*Assumptions!B85+E9*Assumptions!B86+W9*Assumptions!B85+ROUND(B9*Assumptions!B137*Assumptions!B138*Assumptions!B139,0)*Assumptions!B86,0)</f>
        <v>4</v>
      </c>
      <c r="P9" s="20" t="n">
        <f aca="false">K9+L9+M9+N9+O9+X9</f>
        <v>126</v>
      </c>
      <c r="Q9" s="20" t="n">
        <f aca="false">I9-P9</f>
        <v>-94</v>
      </c>
      <c r="R9" s="20" t="n">
        <f aca="false">0</f>
        <v>0</v>
      </c>
      <c r="S9" s="20" t="n">
        <f aca="false">I9+R9+W9</f>
        <v>60</v>
      </c>
      <c r="T9" s="20" t="n">
        <f aca="false">IF(U9&lt;P9*3,0,IF(U9&lt;P9*6,ROUND((Q9+R9+W9)*0.75*Assumptions!B113,0),ROUND((Q9+R9+W9)*0.75*Assumptions!B114,0)))</f>
        <v>0</v>
      </c>
      <c r="U9" s="20" t="n">
        <f aca="false">U8+Q9+R9+W9</f>
        <v>-3068</v>
      </c>
      <c r="V9" s="21" t="str">
        <f aca="false">IF(B9&gt;=Assumptions!B107,"Signal 6",IF(B9&gt;=Assumptions!B106,"Signal 5",IF(B9&gt;=Assumptions!B105,"Signal 4",IF(B9&gt;=Assumptions!B104,"Signal 3",IF(B9&gt;=Assumptions!B103,"Signal 2",IF(B9&gt;=Assumptions!B102,"Signal 1","Pre-Signal 1"))))))</f>
        <v>Pre-Signal 1</v>
      </c>
      <c r="W9" s="8" t="n">
        <f aca="false">ROUND(B9*Assumptions!B137*Assumptions!B138*Assumptions!B139*Assumptions!B136,0)</f>
        <v>28</v>
      </c>
      <c r="X9" s="8" t="n">
        <f aca="false">ROUND(B9*Assumptions!B137*Assumptions!B65,0)</f>
        <v>5</v>
      </c>
    </row>
    <row r="10" customFormat="false" ht="15" hidden="false" customHeight="false" outlineLevel="0" collapsed="false">
      <c r="A10" s="18" t="n">
        <v>5</v>
      </c>
      <c r="B10" s="6" t="n">
        <f aca="false">B9*(1+Assumptions!B33)</f>
        <v>782.281152</v>
      </c>
      <c r="C10" s="6" t="n">
        <f aca="false">ROUND(B10*Assumptions!B25,0)</f>
        <v>16</v>
      </c>
      <c r="D10" s="6" t="n">
        <f aca="false">ROUND(B10*Assumptions!B22,0)</f>
        <v>1</v>
      </c>
      <c r="E10" s="18" t="n">
        <f aca="false">E9+D10-F10</f>
        <v>5</v>
      </c>
      <c r="F10" s="6" t="n">
        <f aca="false">ROUND(E9*Assumptions!B43,0)</f>
        <v>0</v>
      </c>
      <c r="G10" s="18" t="n">
        <f aca="false">D10-F10</f>
        <v>1</v>
      </c>
      <c r="H10" s="18" t="n">
        <f aca="false">ROUND(E10*Assumptions!B14,0)</f>
        <v>40</v>
      </c>
      <c r="I10" s="18" t="n">
        <f aca="false">H10</f>
        <v>40</v>
      </c>
      <c r="J10" s="6" t="n">
        <f aca="false">ROUND(E10*Assumptions!B68,0)</f>
        <v>18</v>
      </c>
      <c r="K10" s="6" t="n">
        <f aca="false">ROUND(J10*Assumptions!B65,0)</f>
        <v>1</v>
      </c>
      <c r="L10" s="6" t="n">
        <f aca="false">Assumptions!B70+IF(E10&gt;Assumptions!B72,45,0)</f>
        <v>31</v>
      </c>
      <c r="M10" s="6" t="n">
        <f aca="false">Assumptions!B76+Assumptions!B77</f>
        <v>35</v>
      </c>
      <c r="N10" s="6" t="n">
        <f aca="false">Assumptions!B81+Assumptions!B82+Assumptions!B87/12</f>
        <v>50</v>
      </c>
      <c r="O10" s="6" t="n">
        <f aca="false">ROUND(I10*Assumptions!B85+E10*Assumptions!B86+W10*Assumptions!B85+ROUND(B10*Assumptions!B137*Assumptions!B138*Assumptions!B139,0)*Assumptions!B86,0)</f>
        <v>4</v>
      </c>
      <c r="P10" s="18" t="n">
        <f aca="false">K10+L10+M10+N10+O10+X10</f>
        <v>126</v>
      </c>
      <c r="Q10" s="18" t="n">
        <f aca="false">I10-P10</f>
        <v>-86</v>
      </c>
      <c r="R10" s="18" t="n">
        <f aca="false">0</f>
        <v>0</v>
      </c>
      <c r="S10" s="18" t="n">
        <f aca="false">I10+R10+W10</f>
        <v>71</v>
      </c>
      <c r="T10" s="18" t="n">
        <f aca="false">IF(U10&lt;P10*3,0,IF(U10&lt;P10*6,ROUND((Q10+R10+W10)*0.75*Assumptions!B113,0),ROUND((Q10+R10+W10)*0.75*Assumptions!B114,0)))</f>
        <v>0</v>
      </c>
      <c r="U10" s="18" t="n">
        <f aca="false">U9+Q10+R10+W10</f>
        <v>-3123</v>
      </c>
      <c r="V10" s="19" t="str">
        <f aca="false">IF(B10&gt;=Assumptions!B107,"Signal 6",IF(B10&gt;=Assumptions!B106,"Signal 5",IF(B10&gt;=Assumptions!B105,"Signal 4",IF(B10&gt;=Assumptions!B104,"Signal 3",IF(B10&gt;=Assumptions!B103,"Signal 2",IF(B10&gt;=Assumptions!B102,"Signal 1","Pre-Signal 1"))))))</f>
        <v>Pre-Signal 1</v>
      </c>
      <c r="W10" s="6" t="n">
        <f aca="false">ROUND(B10*Assumptions!B137*Assumptions!B138*Assumptions!B139*Assumptions!B136,0)</f>
        <v>31</v>
      </c>
      <c r="X10" s="6" t="n">
        <f aca="false">ROUND(B10*Assumptions!B137*Assumptions!B65,0)</f>
        <v>5</v>
      </c>
    </row>
    <row r="11" customFormat="false" ht="15" hidden="false" customHeight="false" outlineLevel="0" collapsed="false">
      <c r="A11" s="20" t="n">
        <v>6</v>
      </c>
      <c r="B11" s="8" t="n">
        <f aca="false">B10*(1+Assumptions!B33)*Assumptions!B37</f>
        <v>912.4527356928</v>
      </c>
      <c r="C11" s="8" t="n">
        <f aca="false">ROUND(B11*Assumptions!B25,0)</f>
        <v>18</v>
      </c>
      <c r="D11" s="8" t="n">
        <f aca="false">ROUND(B11*Assumptions!B22,0)</f>
        <v>1</v>
      </c>
      <c r="E11" s="20" t="n">
        <f aca="false">E10+D11-F11</f>
        <v>6</v>
      </c>
      <c r="F11" s="8" t="n">
        <f aca="false">ROUND(E10*Assumptions!B43,0)</f>
        <v>0</v>
      </c>
      <c r="G11" s="20" t="n">
        <f aca="false">D11-F11</f>
        <v>1</v>
      </c>
      <c r="H11" s="20" t="n">
        <f aca="false">ROUND(E11*Assumptions!B14,0)</f>
        <v>48</v>
      </c>
      <c r="I11" s="20" t="n">
        <f aca="false">H11</f>
        <v>48</v>
      </c>
      <c r="J11" s="8" t="n">
        <f aca="false">ROUND(E11*Assumptions!B68,0)</f>
        <v>21</v>
      </c>
      <c r="K11" s="8" t="n">
        <f aca="false">ROUND(J11*Assumptions!B65,0)</f>
        <v>2</v>
      </c>
      <c r="L11" s="8" t="n">
        <f aca="false">Assumptions!B70+IF(E11&gt;Assumptions!B72,45,0)</f>
        <v>31</v>
      </c>
      <c r="M11" s="8" t="n">
        <f aca="false">Assumptions!B76+Assumptions!B77</f>
        <v>35</v>
      </c>
      <c r="N11" s="8" t="n">
        <f aca="false">Assumptions!B81+Assumptions!B82+Assumptions!B87/12</f>
        <v>50</v>
      </c>
      <c r="O11" s="8" t="n">
        <f aca="false">ROUND(I11*Assumptions!B85+E11*Assumptions!B86+W11*Assumptions!B85+ROUND(B11*Assumptions!B137*Assumptions!B138*Assumptions!B139,0)*Assumptions!B86,0)</f>
        <v>5</v>
      </c>
      <c r="P11" s="20" t="n">
        <f aca="false">K11+L11+M11+N11+O11+X11</f>
        <v>129</v>
      </c>
      <c r="Q11" s="20" t="n">
        <f aca="false">I11-P11</f>
        <v>-81</v>
      </c>
      <c r="R11" s="8" t="n">
        <f aca="false">ROUND(B11*Assumptions!B51*Assumptions!B52,0)</f>
        <v>319</v>
      </c>
      <c r="S11" s="20" t="n">
        <f aca="false">I11+R11+W11</f>
        <v>403</v>
      </c>
      <c r="T11" s="20" t="n">
        <f aca="false">IF(U11&lt;P11*3,0,IF(U11&lt;P11*6,ROUND((Q11+R11+W11)*0.75*Assumptions!B113,0),ROUND((Q11+R11+W11)*0.75*Assumptions!B114,0)))</f>
        <v>0</v>
      </c>
      <c r="U11" s="20" t="n">
        <f aca="false">U10+Q11+R11+W11</f>
        <v>-2849</v>
      </c>
      <c r="V11" s="21" t="str">
        <f aca="false">IF(B11&gt;=Assumptions!B107,"Signal 6",IF(B11&gt;=Assumptions!B106,"Signal 5",IF(B11&gt;=Assumptions!B105,"Signal 4",IF(B11&gt;=Assumptions!B104,"Signal 3",IF(B11&gt;=Assumptions!B103,"Signal 2",IF(B11&gt;=Assumptions!B102,"Signal 1","Pre-Signal 1"))))))</f>
        <v>Pre-Signal 1</v>
      </c>
      <c r="W11" s="8" t="n">
        <f aca="false">ROUND(B11*Assumptions!B137*Assumptions!B138*Assumptions!B139*Assumptions!B136,0)</f>
        <v>36</v>
      </c>
      <c r="X11" s="8" t="n">
        <f aca="false">ROUND(B11*Assumptions!B137*Assumptions!B65,0)</f>
        <v>6</v>
      </c>
    </row>
    <row r="12" customFormat="false" ht="15" hidden="false" customHeight="false" outlineLevel="0" collapsed="false">
      <c r="A12" s="18" t="n">
        <v>7</v>
      </c>
      <c r="B12" s="6" t="n">
        <f aca="false">B11*(1+Assumptions!B33)</f>
        <v>985.448954548224</v>
      </c>
      <c r="C12" s="6" t="n">
        <f aca="false">ROUND(B12*Assumptions!B25,0)</f>
        <v>20</v>
      </c>
      <c r="D12" s="6" t="n">
        <f aca="false">ROUND(B12*Assumptions!B22,0)</f>
        <v>1</v>
      </c>
      <c r="E12" s="18" t="n">
        <f aca="false">E11+D12-F12</f>
        <v>7</v>
      </c>
      <c r="F12" s="6" t="n">
        <f aca="false">ROUND(E11*Assumptions!B43,0)</f>
        <v>0</v>
      </c>
      <c r="G12" s="18" t="n">
        <f aca="false">D12-F12</f>
        <v>1</v>
      </c>
      <c r="H12" s="18" t="n">
        <f aca="false">ROUND(E12*Assumptions!B14,0)</f>
        <v>56</v>
      </c>
      <c r="I12" s="18" t="n">
        <f aca="false">H12</f>
        <v>56</v>
      </c>
      <c r="J12" s="6" t="n">
        <f aca="false">ROUND(E12*Assumptions!B68,0)</f>
        <v>25</v>
      </c>
      <c r="K12" s="6" t="n">
        <f aca="false">ROUND(J12*Assumptions!B65,0)</f>
        <v>2</v>
      </c>
      <c r="L12" s="6" t="n">
        <f aca="false">Assumptions!B70+IF(E12&gt;Assumptions!B72,45,0)</f>
        <v>31</v>
      </c>
      <c r="M12" s="6" t="n">
        <f aca="false">Assumptions!B76+Assumptions!B77</f>
        <v>35</v>
      </c>
      <c r="N12" s="6" t="n">
        <f aca="false">Assumptions!B81+Assumptions!B82+Assumptions!B87/12</f>
        <v>50</v>
      </c>
      <c r="O12" s="6" t="n">
        <f aca="false">ROUND(I12*Assumptions!B85+E12*Assumptions!B86+W12*Assumptions!B85+ROUND(B12*Assumptions!B137*Assumptions!B138*Assumptions!B139,0)*Assumptions!B86,0)</f>
        <v>6</v>
      </c>
      <c r="P12" s="18" t="n">
        <f aca="false">K12+L12+M12+N12+O12+X12</f>
        <v>130</v>
      </c>
      <c r="Q12" s="18" t="n">
        <f aca="false">I12-P12</f>
        <v>-74</v>
      </c>
      <c r="R12" s="6" t="n">
        <f aca="false">ROUND(B12*Assumptions!B51*Assumptions!B52,0)</f>
        <v>345</v>
      </c>
      <c r="S12" s="18" t="n">
        <f aca="false">I12+R12+W12</f>
        <v>439</v>
      </c>
      <c r="T12" s="18" t="n">
        <f aca="false">IF(U12&lt;P12*3,0,IF(U12&lt;P12*6,ROUND((Q12+R12+W12)*0.75*Assumptions!B113,0),ROUND((Q12+R12+W12)*0.75*Assumptions!B114,0)))</f>
        <v>0</v>
      </c>
      <c r="U12" s="18" t="n">
        <f aca="false">U11+Q12+R12+W12</f>
        <v>-2540</v>
      </c>
      <c r="V12" s="19" t="str">
        <f aca="false">IF(B12&gt;=Assumptions!B107,"Signal 6",IF(B12&gt;=Assumptions!B106,"Signal 5",IF(B12&gt;=Assumptions!B105,"Signal 4",IF(B12&gt;=Assumptions!B104,"Signal 3",IF(B12&gt;=Assumptions!B103,"Signal 2",IF(B12&gt;=Assumptions!B102,"Signal 1","Pre-Signal 1"))))))</f>
        <v>Pre-Signal 1</v>
      </c>
      <c r="W12" s="6" t="n">
        <f aca="false">ROUND(B12*Assumptions!B137*Assumptions!B138*Assumptions!B139*Assumptions!B136,0)</f>
        <v>38</v>
      </c>
      <c r="X12" s="6" t="n">
        <f aca="false">ROUND(B12*Assumptions!B137*Assumptions!B65,0)</f>
        <v>6</v>
      </c>
    </row>
    <row r="13" customFormat="false" ht="15" hidden="false" customHeight="false" outlineLevel="0" collapsed="false">
      <c r="A13" s="20" t="n">
        <v>8</v>
      </c>
      <c r="B13" s="8" t="n">
        <f aca="false">B12*(1+Assumptions!B33)</f>
        <v>1064.28487091208</v>
      </c>
      <c r="C13" s="8" t="n">
        <f aca="false">ROUND(B13*Assumptions!B25,0)</f>
        <v>21</v>
      </c>
      <c r="D13" s="8" t="n">
        <f aca="false">ROUND(B13*Assumptions!B22,0)</f>
        <v>2</v>
      </c>
      <c r="E13" s="20" t="n">
        <f aca="false">E12+D13-F13</f>
        <v>8</v>
      </c>
      <c r="F13" s="8" t="n">
        <f aca="false">ROUND(E12*Assumptions!B43,0)</f>
        <v>1</v>
      </c>
      <c r="G13" s="20" t="n">
        <f aca="false">D13-F13</f>
        <v>1</v>
      </c>
      <c r="H13" s="20" t="n">
        <f aca="false">ROUND(E13*Assumptions!B14,0)</f>
        <v>64</v>
      </c>
      <c r="I13" s="20" t="n">
        <f aca="false">H13</f>
        <v>64</v>
      </c>
      <c r="J13" s="8" t="n">
        <f aca="false">ROUND(E13*Assumptions!B68,0)</f>
        <v>28</v>
      </c>
      <c r="K13" s="8" t="n">
        <f aca="false">ROUND(J13*Assumptions!B65,0)</f>
        <v>2</v>
      </c>
      <c r="L13" s="8" t="n">
        <f aca="false">Assumptions!B70+IF(E13&gt;Assumptions!B72,45,0)</f>
        <v>31</v>
      </c>
      <c r="M13" s="8" t="n">
        <f aca="false">Assumptions!B76+Assumptions!B77</f>
        <v>35</v>
      </c>
      <c r="N13" s="8" t="n">
        <f aca="false">Assumptions!B81+Assumptions!B82+Assumptions!B87/12</f>
        <v>50</v>
      </c>
      <c r="O13" s="8" t="n">
        <f aca="false">ROUND(I13*Assumptions!B85+E13*Assumptions!B86+W13*Assumptions!B85+ROUND(B13*Assumptions!B137*Assumptions!B138*Assumptions!B139,0)*Assumptions!B86,0)</f>
        <v>6</v>
      </c>
      <c r="P13" s="20" t="n">
        <f aca="false">K13+L13+M13+N13+O13+X13</f>
        <v>131</v>
      </c>
      <c r="Q13" s="20" t="n">
        <f aca="false">I13-P13</f>
        <v>-67</v>
      </c>
      <c r="R13" s="8" t="n">
        <f aca="false">ROUND(B13*Assumptions!B51*Assumptions!B52,0)</f>
        <v>372</v>
      </c>
      <c r="S13" s="20" t="n">
        <f aca="false">I13+R13+W13</f>
        <v>478</v>
      </c>
      <c r="T13" s="20" t="n">
        <f aca="false">IF(U13&lt;P13*3,0,IF(U13&lt;P13*6,ROUND((Q13+R13+W13)*0.75*Assumptions!B113,0),ROUND((Q13+R13+W13)*0.75*Assumptions!B114,0)))</f>
        <v>0</v>
      </c>
      <c r="U13" s="20" t="n">
        <f aca="false">U12+Q13+R13+W13</f>
        <v>-2193</v>
      </c>
      <c r="V13" s="21" t="str">
        <f aca="false">IF(B13&gt;=Assumptions!B107,"Signal 6",IF(B13&gt;=Assumptions!B106,"Signal 5",IF(B13&gt;=Assumptions!B105,"Signal 4",IF(B13&gt;=Assumptions!B104,"Signal 3",IF(B13&gt;=Assumptions!B103,"Signal 2",IF(B13&gt;=Assumptions!B102,"Signal 1","Pre-Signal 1"))))))</f>
        <v>Pre-Signal 1</v>
      </c>
      <c r="W13" s="8" t="n">
        <f aca="false">ROUND(B13*Assumptions!B137*Assumptions!B138*Assumptions!B139*Assumptions!B136,0)</f>
        <v>42</v>
      </c>
      <c r="X13" s="8" t="n">
        <f aca="false">ROUND(B13*Assumptions!B137*Assumptions!B65,0)</f>
        <v>7</v>
      </c>
    </row>
    <row r="14" customFormat="false" ht="15" hidden="false" customHeight="false" outlineLevel="0" collapsed="false">
      <c r="A14" s="18" t="n">
        <v>9</v>
      </c>
      <c r="B14" s="6" t="n">
        <f aca="false">B13*(1+Assumptions!B33)</f>
        <v>1149.42766058505</v>
      </c>
      <c r="C14" s="6" t="n">
        <f aca="false">ROUND(B14*Assumptions!B25,0)</f>
        <v>23</v>
      </c>
      <c r="D14" s="6" t="n">
        <f aca="false">ROUND(B14*Assumptions!B22,0)</f>
        <v>2</v>
      </c>
      <c r="E14" s="18" t="n">
        <f aca="false">E13+D14-F14</f>
        <v>9</v>
      </c>
      <c r="F14" s="6" t="n">
        <f aca="false">ROUND(E13*Assumptions!B43,0)</f>
        <v>1</v>
      </c>
      <c r="G14" s="18" t="n">
        <f aca="false">D14-F14</f>
        <v>1</v>
      </c>
      <c r="H14" s="18" t="n">
        <f aca="false">ROUND(E14*((Assumptions!B14+Assumptions!B15)/2),0)</f>
        <v>95</v>
      </c>
      <c r="I14" s="18" t="n">
        <f aca="false">H14</f>
        <v>95</v>
      </c>
      <c r="J14" s="6" t="n">
        <f aca="false">ROUND(E14*Assumptions!B68,0)</f>
        <v>32</v>
      </c>
      <c r="K14" s="6" t="n">
        <f aca="false">ROUND(J14*Assumptions!B65,0)</f>
        <v>3</v>
      </c>
      <c r="L14" s="6" t="n">
        <f aca="false">Assumptions!B70+IF(E14&gt;Assumptions!B72,45,0)</f>
        <v>31</v>
      </c>
      <c r="M14" s="6" t="n">
        <f aca="false">Assumptions!B76+Assumptions!B77</f>
        <v>35</v>
      </c>
      <c r="N14" s="6" t="n">
        <f aca="false">Assumptions!B81+Assumptions!B82+Assumptions!B87/12</f>
        <v>50</v>
      </c>
      <c r="O14" s="6" t="n">
        <f aca="false">ROUND(I14*Assumptions!B85+E14*Assumptions!B86+W14*Assumptions!B85+ROUND(B14*Assumptions!B137*Assumptions!B138*Assumptions!B139,0)*Assumptions!B86,0)</f>
        <v>8</v>
      </c>
      <c r="P14" s="18" t="n">
        <f aca="false">K14+L14+M14+N14+O14+X14</f>
        <v>134</v>
      </c>
      <c r="Q14" s="18" t="n">
        <f aca="false">I14-P14</f>
        <v>-39</v>
      </c>
      <c r="R14" s="6" t="n">
        <f aca="false">ROUND(B14*Assumptions!B51*Assumptions!B52,0)</f>
        <v>402</v>
      </c>
      <c r="S14" s="18" t="n">
        <f aca="false">I14+R14+W14</f>
        <v>542</v>
      </c>
      <c r="T14" s="18" t="n">
        <f aca="false">IF(U14&lt;P14*3,0,IF(U14&lt;P14*6,ROUND((Q14+R14+W14)*0.75*Assumptions!B113,0),ROUND((Q14+R14+W14)*0.75*Assumptions!B114,0)))</f>
        <v>0</v>
      </c>
      <c r="U14" s="18" t="n">
        <f aca="false">U13+Q14+R14+W14</f>
        <v>-1785</v>
      </c>
      <c r="V14" s="19" t="str">
        <f aca="false">IF(B14&gt;=Assumptions!B107,"Signal 6",IF(B14&gt;=Assumptions!B106,"Signal 5",IF(B14&gt;=Assumptions!B105,"Signal 4",IF(B14&gt;=Assumptions!B104,"Signal 3",IF(B14&gt;=Assumptions!B103,"Signal 2",IF(B14&gt;=Assumptions!B102,"Signal 1","Pre-Signal 1"))))))</f>
        <v>Pre-Signal 1</v>
      </c>
      <c r="W14" s="6" t="n">
        <f aca="false">ROUND(B14*Assumptions!B137*Assumptions!B138*Assumptions!B139*Assumptions!B136,0)</f>
        <v>45</v>
      </c>
      <c r="X14" s="6" t="n">
        <f aca="false">ROUND(B14*Assumptions!B137*Assumptions!B65,0)</f>
        <v>7</v>
      </c>
    </row>
    <row r="15" customFormat="false" ht="15" hidden="false" customHeight="false" outlineLevel="0" collapsed="false">
      <c r="A15" s="20" t="n">
        <v>10</v>
      </c>
      <c r="B15" s="8" t="n">
        <f aca="false">B14*(1+Assumptions!B33)</f>
        <v>1241.38187343185</v>
      </c>
      <c r="C15" s="8" t="n">
        <f aca="false">ROUND(B15*Assumptions!B25,0)</f>
        <v>25</v>
      </c>
      <c r="D15" s="8" t="n">
        <f aca="false">ROUND(B15*Assumptions!B22,0)</f>
        <v>2</v>
      </c>
      <c r="E15" s="20" t="n">
        <f aca="false">E14+D15-F15</f>
        <v>10</v>
      </c>
      <c r="F15" s="8" t="n">
        <f aca="false">ROUND(E14*Assumptions!B43,0)</f>
        <v>1</v>
      </c>
      <c r="G15" s="20" t="n">
        <f aca="false">D15-F15</f>
        <v>1</v>
      </c>
      <c r="H15" s="20" t="n">
        <f aca="false">ROUND(E15*(Assumptions!B15*0.85+Assumptions!B11*0.15),0)</f>
        <v>115</v>
      </c>
      <c r="I15" s="20" t="n">
        <f aca="false">H15</f>
        <v>115</v>
      </c>
      <c r="J15" s="8" t="n">
        <f aca="false">ROUND(E15*Assumptions!B68,0)</f>
        <v>35</v>
      </c>
      <c r="K15" s="8" t="n">
        <f aca="false">ROUND(J15*Assumptions!B65,0)</f>
        <v>3</v>
      </c>
      <c r="L15" s="8" t="n">
        <f aca="false">Assumptions!B70+IF(E15&gt;Assumptions!B72,45,0)</f>
        <v>31</v>
      </c>
      <c r="M15" s="8" t="n">
        <f aca="false">Assumptions!B76+Assumptions!B77</f>
        <v>35</v>
      </c>
      <c r="N15" s="8" t="n">
        <f aca="false">Assumptions!B81+Assumptions!B82+Assumptions!B87/12</f>
        <v>50</v>
      </c>
      <c r="O15" s="8" t="n">
        <f aca="false">ROUND(I15*Assumptions!B85+E15*Assumptions!B86+W15*Assumptions!B85+ROUND(B15*Assumptions!B137*Assumptions!B138*Assumptions!B139,0)*Assumptions!B86,0)</f>
        <v>9</v>
      </c>
      <c r="P15" s="20" t="n">
        <f aca="false">K15+L15+M15+N15+O15+X15</f>
        <v>136</v>
      </c>
      <c r="Q15" s="20" t="n">
        <f aca="false">I15-P15</f>
        <v>-21</v>
      </c>
      <c r="R15" s="8" t="n">
        <f aca="false">ROUND(B15*Assumptions!B51*Assumptions!B52,0)</f>
        <v>434</v>
      </c>
      <c r="S15" s="20" t="n">
        <f aca="false">I15+R15+W15</f>
        <v>597</v>
      </c>
      <c r="T15" s="20" t="n">
        <f aca="false">IF(U15&lt;P15*3,0,IF(U15&lt;P15*6,ROUND((Q15+R15+W15)*0.75*Assumptions!B113,0),ROUND((Q15+R15+W15)*0.75*Assumptions!B114,0)))</f>
        <v>0</v>
      </c>
      <c r="U15" s="20" t="n">
        <f aca="false">U14+Q15+R15+W15</f>
        <v>-1324</v>
      </c>
      <c r="V15" s="21" t="str">
        <f aca="false">IF(B15&gt;=Assumptions!B107,"Signal 6",IF(B15&gt;=Assumptions!B106,"Signal 5",IF(B15&gt;=Assumptions!B105,"Signal 4",IF(B15&gt;=Assumptions!B104,"Signal 3",IF(B15&gt;=Assumptions!B103,"Signal 2",IF(B15&gt;=Assumptions!B102,"Signal 1","Pre-Signal 1"))))))</f>
        <v>Pre-Signal 1</v>
      </c>
      <c r="W15" s="8" t="n">
        <f aca="false">ROUND(B15*Assumptions!B137*Assumptions!B138*Assumptions!B139*Assumptions!B136,0)</f>
        <v>48</v>
      </c>
      <c r="X15" s="8" t="n">
        <f aca="false">ROUND(B15*Assumptions!B137*Assumptions!B65,0)</f>
        <v>8</v>
      </c>
    </row>
    <row r="16" customFormat="false" ht="15" hidden="false" customHeight="false" outlineLevel="0" collapsed="false">
      <c r="A16" s="18" t="n">
        <v>11</v>
      </c>
      <c r="B16" s="6" t="n">
        <f aca="false">B15*(1+Assumptions!B33)</f>
        <v>1340.6924233064</v>
      </c>
      <c r="C16" s="6" t="n">
        <f aca="false">ROUND(B16*Assumptions!B25,0)</f>
        <v>27</v>
      </c>
      <c r="D16" s="6" t="n">
        <f aca="false">ROUND(B16*Assumptions!B22,0)</f>
        <v>2</v>
      </c>
      <c r="E16" s="18" t="n">
        <f aca="false">E15+D16-F16</f>
        <v>11</v>
      </c>
      <c r="F16" s="6" t="n">
        <f aca="false">ROUND(E15*Assumptions!B43,0)</f>
        <v>1</v>
      </c>
      <c r="G16" s="18" t="n">
        <f aca="false">D16-F16</f>
        <v>1</v>
      </c>
      <c r="H16" s="18" t="n">
        <f aca="false">ROUND(E16*(Assumptions!B15*0.85+Assumptions!B11*0.15),0)</f>
        <v>126</v>
      </c>
      <c r="I16" s="18" t="n">
        <f aca="false">H16</f>
        <v>126</v>
      </c>
      <c r="J16" s="6" t="n">
        <f aca="false">ROUND(E16*Assumptions!B68,0)</f>
        <v>39</v>
      </c>
      <c r="K16" s="6" t="n">
        <f aca="false">ROUND(J16*Assumptions!B65,0)</f>
        <v>3</v>
      </c>
      <c r="L16" s="6" t="n">
        <f aca="false">Assumptions!B70+IF(E16&gt;Assumptions!B72,45,0)</f>
        <v>31</v>
      </c>
      <c r="M16" s="6" t="n">
        <f aca="false">Assumptions!B76+Assumptions!B77</f>
        <v>35</v>
      </c>
      <c r="N16" s="6" t="n">
        <f aca="false">Assumptions!B81+Assumptions!B82+Assumptions!B87/12</f>
        <v>50</v>
      </c>
      <c r="O16" s="6" t="n">
        <f aca="false">ROUND(I16*Assumptions!B85+E16*Assumptions!B86+W16*Assumptions!B85+ROUND(B16*Assumptions!B137*Assumptions!B138*Assumptions!B139,0)*Assumptions!B86,0)</f>
        <v>10</v>
      </c>
      <c r="P16" s="18" t="n">
        <f aca="false">K16+L16+M16+N16+O16+X16</f>
        <v>138</v>
      </c>
      <c r="Q16" s="18" t="n">
        <f aca="false">I16-P16</f>
        <v>-12</v>
      </c>
      <c r="R16" s="6" t="n">
        <f aca="false">ROUND(B16*Assumptions!B51*Assumptions!B52,0)</f>
        <v>469</v>
      </c>
      <c r="S16" s="18" t="n">
        <f aca="false">I16+R16+W16</f>
        <v>647</v>
      </c>
      <c r="T16" s="18" t="n">
        <f aca="false">IF(U16&lt;P16*3,0,IF(U16&lt;P16*6,ROUND((Q16+R16+W16)*0.75*Assumptions!B113,0),ROUND((Q16+R16+W16)*0.75*Assumptions!B114,0)))</f>
        <v>0</v>
      </c>
      <c r="U16" s="18" t="n">
        <f aca="false">U15+Q16+R16+W16</f>
        <v>-815</v>
      </c>
      <c r="V16" s="19" t="str">
        <f aca="false">IF(B16&gt;=Assumptions!B107,"Signal 6",IF(B16&gt;=Assumptions!B106,"Signal 5",IF(B16&gt;=Assumptions!B105,"Signal 4",IF(B16&gt;=Assumptions!B104,"Signal 3",IF(B16&gt;=Assumptions!B103,"Signal 2",IF(B16&gt;=Assumptions!B102,"Signal 1","Pre-Signal 1"))))))</f>
        <v>Pre-Signal 1</v>
      </c>
      <c r="W16" s="6" t="n">
        <f aca="false">ROUND(B16*Assumptions!B137*Assumptions!B138*Assumptions!B139*Assumptions!B136,0)</f>
        <v>52</v>
      </c>
      <c r="X16" s="6" t="n">
        <f aca="false">ROUND(B16*Assumptions!B137*Assumptions!B65,0)</f>
        <v>9</v>
      </c>
    </row>
    <row r="17" customFormat="false" ht="15" hidden="false" customHeight="false" outlineLevel="0" collapsed="false">
      <c r="A17" s="20" t="n">
        <v>12</v>
      </c>
      <c r="B17" s="8" t="n">
        <f aca="false">B16*(1+Assumptions!B33)</f>
        <v>1447.94781717091</v>
      </c>
      <c r="C17" s="8" t="n">
        <f aca="false">ROUND(B17*Assumptions!B25,0)</f>
        <v>29</v>
      </c>
      <c r="D17" s="8" t="n">
        <f aca="false">ROUND(B17*Assumptions!B22,0)</f>
        <v>2</v>
      </c>
      <c r="E17" s="20" t="n">
        <f aca="false">E16+D17-F17</f>
        <v>12</v>
      </c>
      <c r="F17" s="8" t="n">
        <f aca="false">ROUND(E16*Assumptions!B43,0)</f>
        <v>1</v>
      </c>
      <c r="G17" s="20" t="n">
        <f aca="false">D17-F17</f>
        <v>1</v>
      </c>
      <c r="H17" s="20" t="n">
        <f aca="false">ROUND(E17*(Assumptions!B15*0.85+Assumptions!B11*0.15),0)</f>
        <v>138</v>
      </c>
      <c r="I17" s="20" t="n">
        <f aca="false">H17</f>
        <v>138</v>
      </c>
      <c r="J17" s="8" t="n">
        <f aca="false">ROUND(E17*Assumptions!B68,0)</f>
        <v>42</v>
      </c>
      <c r="K17" s="8" t="n">
        <f aca="false">ROUND(J17*Assumptions!B65,0)</f>
        <v>3</v>
      </c>
      <c r="L17" s="8" t="n">
        <f aca="false">Assumptions!B70+IF(E17&gt;Assumptions!B72,45,0)</f>
        <v>31</v>
      </c>
      <c r="M17" s="8" t="n">
        <f aca="false">Assumptions!B76+Assumptions!B77</f>
        <v>35</v>
      </c>
      <c r="N17" s="8" t="n">
        <f aca="false">Assumptions!B81+Assumptions!B82+Assumptions!B87/12</f>
        <v>50</v>
      </c>
      <c r="O17" s="8" t="n">
        <f aca="false">ROUND(I17*Assumptions!B85+E17*Assumptions!B86+W17*Assumptions!B85+ROUND(B17*Assumptions!B137*Assumptions!B138*Assumptions!B139,0)*Assumptions!B86,0)</f>
        <v>10</v>
      </c>
      <c r="P17" s="20" t="n">
        <f aca="false">K17+L17+M17+N17+O17+X17</f>
        <v>138</v>
      </c>
      <c r="Q17" s="20" t="n">
        <f aca="false">I17-P17</f>
        <v>0</v>
      </c>
      <c r="R17" s="8" t="n">
        <f aca="false">ROUND(B17*Assumptions!B51*Assumptions!B52,0)</f>
        <v>507</v>
      </c>
      <c r="S17" s="20" t="n">
        <f aca="false">I17+R17+W17</f>
        <v>701</v>
      </c>
      <c r="T17" s="20" t="n">
        <f aca="false">IF(U17&lt;P17*3,0,IF(U17&lt;P17*6,ROUND((Q17+R17+W17)*0.75*Assumptions!B113,0),ROUND((Q17+R17+W17)*0.75*Assumptions!B114,0)))</f>
        <v>0</v>
      </c>
      <c r="U17" s="20" t="n">
        <f aca="false">U16+Q17+R17+W17</f>
        <v>-252</v>
      </c>
      <c r="V17" s="21" t="str">
        <f aca="false">IF(B17&gt;=Assumptions!B107,"Signal 6",IF(B17&gt;=Assumptions!B106,"Signal 5",IF(B17&gt;=Assumptions!B105,"Signal 4",IF(B17&gt;=Assumptions!B104,"Signal 3",IF(B17&gt;=Assumptions!B103,"Signal 2",IF(B17&gt;=Assumptions!B102,"Signal 1","Pre-Signal 1"))))))</f>
        <v>Pre-Signal 1</v>
      </c>
      <c r="W17" s="8" t="n">
        <f aca="false">ROUND(B17*Assumptions!B137*Assumptions!B138*Assumptions!B139*Assumptions!B136,0)</f>
        <v>56</v>
      </c>
      <c r="X17" s="8" t="n">
        <f aca="false">ROUND(B17*Assumptions!B137*Assumptions!B65,0)</f>
        <v>9</v>
      </c>
    </row>
    <row r="18" customFormat="false" ht="15" hidden="false" customHeight="false" outlineLevel="0" collapsed="false">
      <c r="A18" s="18" t="n">
        <v>13</v>
      </c>
      <c r="B18" s="6" t="n">
        <f aca="false">B17*(1+Assumptions!B33)</f>
        <v>1563.78364254459</v>
      </c>
      <c r="C18" s="6" t="n">
        <f aca="false">ROUND(B18*Assumptions!B25,0)</f>
        <v>31</v>
      </c>
      <c r="D18" s="6" t="n">
        <f aca="false">ROUND(B18*Assumptions!B22,0)</f>
        <v>2</v>
      </c>
      <c r="E18" s="18" t="n">
        <f aca="false">E17+D18-F18</f>
        <v>13</v>
      </c>
      <c r="F18" s="6" t="n">
        <f aca="false">ROUND(E17*Assumptions!B43,0)</f>
        <v>1</v>
      </c>
      <c r="G18" s="18" t="n">
        <f aca="false">D18-F18</f>
        <v>1</v>
      </c>
      <c r="H18" s="18" t="n">
        <f aca="false">ROUND(E18*(Assumptions!B15*0.85+Assumptions!B11*0.15),0)</f>
        <v>149</v>
      </c>
      <c r="I18" s="18" t="n">
        <f aca="false">H18</f>
        <v>149</v>
      </c>
      <c r="J18" s="6" t="n">
        <f aca="false">ROUND(E18*Assumptions!B68,0)</f>
        <v>46</v>
      </c>
      <c r="K18" s="6" t="n">
        <f aca="false">ROUND(J18*Assumptions!B65,0)</f>
        <v>4</v>
      </c>
      <c r="L18" s="6" t="n">
        <f aca="false">Assumptions!B70+IF(E18&gt;Assumptions!B72,45,0)</f>
        <v>31</v>
      </c>
      <c r="M18" s="6" t="n">
        <f aca="false">Assumptions!B76+Assumptions!B77</f>
        <v>35</v>
      </c>
      <c r="N18" s="6" t="n">
        <f aca="false">Assumptions!B81+Assumptions!B82+Assumptions!B87/12+Assumptions!B84</f>
        <v>92</v>
      </c>
      <c r="O18" s="6" t="n">
        <f aca="false">ROUND(I18*Assumptions!B85+E18*Assumptions!B86+W18*Assumptions!B85+ROUND(B18*Assumptions!B137*Assumptions!B138*Assumptions!B139,0)*Assumptions!B86,0)</f>
        <v>11</v>
      </c>
      <c r="P18" s="18" t="n">
        <f aca="false">K18+L18+M18+N18+O18+X18</f>
        <v>183</v>
      </c>
      <c r="Q18" s="18" t="n">
        <f aca="false">I18-P18</f>
        <v>-34</v>
      </c>
      <c r="R18" s="6" t="n">
        <f aca="false">ROUND(B18*Assumptions!B51*Assumptions!B52,0)</f>
        <v>547</v>
      </c>
      <c r="S18" s="18" t="n">
        <f aca="false">I18+R18+W18</f>
        <v>757</v>
      </c>
      <c r="T18" s="18" t="n">
        <f aca="false">IF(U18&lt;P18*3,0,IF(U18&lt;P18*6,ROUND((Q18+R18+W18)*0.75*Assumptions!B113,0),ROUND((Q18+R18+W18)*0.75*Assumptions!B114,0)))</f>
        <v>0</v>
      </c>
      <c r="U18" s="18" t="n">
        <f aca="false">U17+Q18+R18+W18</f>
        <v>322</v>
      </c>
      <c r="V18" s="19" t="str">
        <f aca="false">IF(B18&gt;=Assumptions!B107,"Signal 6",IF(B18&gt;=Assumptions!B106,"Signal 5",IF(B18&gt;=Assumptions!B105,"Signal 4",IF(B18&gt;=Assumptions!B104,"Signal 3",IF(B18&gt;=Assumptions!B103,"Signal 2",IF(B18&gt;=Assumptions!B102,"Signal 1","Pre-Signal 1"))))))</f>
        <v>Pre-Signal 1</v>
      </c>
      <c r="W18" s="6" t="n">
        <f aca="false">ROUND(B18*Assumptions!B137*Assumptions!B138*Assumptions!B139*Assumptions!B136,0)</f>
        <v>61</v>
      </c>
      <c r="X18" s="6" t="n">
        <f aca="false">ROUND(B18*Assumptions!B137*Assumptions!B65,0)</f>
        <v>10</v>
      </c>
    </row>
    <row r="19" customFormat="false" ht="15" hidden="false" customHeight="false" outlineLevel="0" collapsed="false">
      <c r="A19" s="20" t="n">
        <v>14</v>
      </c>
      <c r="B19" s="8" t="n">
        <f aca="false">B18*(1+Assumptions!B33)</f>
        <v>1688.88633394815</v>
      </c>
      <c r="C19" s="8" t="n">
        <f aca="false">ROUND(B19*Assumptions!B25,0)</f>
        <v>34</v>
      </c>
      <c r="D19" s="8" t="n">
        <f aca="false">ROUND(B19*Assumptions!B22,0)</f>
        <v>3</v>
      </c>
      <c r="E19" s="20" t="n">
        <f aca="false">E18+D19-F19</f>
        <v>15</v>
      </c>
      <c r="F19" s="8" t="n">
        <f aca="false">ROUND(E18*Assumptions!B43,0)</f>
        <v>1</v>
      </c>
      <c r="G19" s="20" t="n">
        <f aca="false">D19-F19</f>
        <v>2</v>
      </c>
      <c r="H19" s="20" t="n">
        <f aca="false">ROUND(E19*(Assumptions!B15*0.85+Assumptions!B11*0.15),0)</f>
        <v>172</v>
      </c>
      <c r="I19" s="20" t="n">
        <f aca="false">H19</f>
        <v>172</v>
      </c>
      <c r="J19" s="8" t="n">
        <f aca="false">ROUND(E19*Assumptions!B68,0)</f>
        <v>53</v>
      </c>
      <c r="K19" s="8" t="n">
        <f aca="false">ROUND(J19*Assumptions!B65,0)</f>
        <v>4</v>
      </c>
      <c r="L19" s="8" t="n">
        <f aca="false">Assumptions!B70+IF(E19&gt;Assumptions!B72,45,0)</f>
        <v>31</v>
      </c>
      <c r="M19" s="8" t="n">
        <f aca="false">Assumptions!B76+Assumptions!B77</f>
        <v>35</v>
      </c>
      <c r="N19" s="8" t="n">
        <f aca="false">Assumptions!B81+Assumptions!B82+Assumptions!B87/12+Assumptions!B84</f>
        <v>92</v>
      </c>
      <c r="O19" s="8" t="n">
        <f aca="false">ROUND(I19*Assumptions!B85+E19*Assumptions!B86+W19*Assumptions!B85+ROUND(B19*Assumptions!B137*Assumptions!B138*Assumptions!B139,0)*Assumptions!B86,0)</f>
        <v>13</v>
      </c>
      <c r="P19" s="20" t="n">
        <f aca="false">K19+L19+M19+N19+O19+X19</f>
        <v>186</v>
      </c>
      <c r="Q19" s="20" t="n">
        <f aca="false">I19-P19</f>
        <v>-14</v>
      </c>
      <c r="R19" s="8" t="n">
        <f aca="false">ROUND(B19*Assumptions!B51*Assumptions!B52,0)</f>
        <v>591</v>
      </c>
      <c r="S19" s="20" t="n">
        <f aca="false">I19+R19+W19</f>
        <v>829</v>
      </c>
      <c r="T19" s="20" t="n">
        <f aca="false">IF(U19&lt;P19*3,0,IF(U19&lt;P19*6,ROUND((Q19+R19+W19)*0.75*Assumptions!B113,0),ROUND((Q19+R19+W19)*0.75*Assumptions!B114,0)))</f>
        <v>114</v>
      </c>
      <c r="U19" s="20" t="n">
        <f aca="false">U18+Q19+R19+W19</f>
        <v>965</v>
      </c>
      <c r="V19" s="21" t="str">
        <f aca="false">IF(B19&gt;=Assumptions!B107,"Signal 6",IF(B19&gt;=Assumptions!B106,"Signal 5",IF(B19&gt;=Assumptions!B105,"Signal 4",IF(B19&gt;=Assumptions!B104,"Signal 3",IF(B19&gt;=Assumptions!B103,"Signal 2",IF(B19&gt;=Assumptions!B102,"Signal 1","Pre-Signal 1"))))))</f>
        <v>Pre-Signal 1</v>
      </c>
      <c r="W19" s="8" t="n">
        <f aca="false">ROUND(B19*Assumptions!B137*Assumptions!B138*Assumptions!B139*Assumptions!B136,0)</f>
        <v>66</v>
      </c>
      <c r="X19" s="8" t="n">
        <f aca="false">ROUND(B19*Assumptions!B137*Assumptions!B65,0)</f>
        <v>11</v>
      </c>
    </row>
    <row r="20" customFormat="false" ht="15" hidden="false" customHeight="false" outlineLevel="0" collapsed="false">
      <c r="A20" s="18" t="n">
        <v>15</v>
      </c>
      <c r="B20" s="6" t="n">
        <f aca="false">B19*(1+Assumptions!B33)</f>
        <v>1823.99724066401</v>
      </c>
      <c r="C20" s="6" t="n">
        <f aca="false">ROUND(B20*Assumptions!B25,0)</f>
        <v>36</v>
      </c>
      <c r="D20" s="6" t="n">
        <f aca="false">ROUND(B20*Assumptions!B22,0)</f>
        <v>3</v>
      </c>
      <c r="E20" s="18" t="n">
        <f aca="false">E19+D20-F20</f>
        <v>17</v>
      </c>
      <c r="F20" s="6" t="n">
        <f aca="false">ROUND(E19*Assumptions!B43,0)</f>
        <v>1</v>
      </c>
      <c r="G20" s="18" t="n">
        <f aca="false">D20-F20</f>
        <v>2</v>
      </c>
      <c r="H20" s="18" t="n">
        <f aca="false">ROUND(E20*(Assumptions!B15*0.85+Assumptions!B11*0.15),0)</f>
        <v>195</v>
      </c>
      <c r="I20" s="18" t="n">
        <f aca="false">H20</f>
        <v>195</v>
      </c>
      <c r="J20" s="6" t="n">
        <f aca="false">ROUND(E20*Assumptions!B68,0)</f>
        <v>60</v>
      </c>
      <c r="K20" s="6" t="n">
        <f aca="false">ROUND(J20*Assumptions!B65,0)</f>
        <v>5</v>
      </c>
      <c r="L20" s="6" t="n">
        <f aca="false">Assumptions!B70+IF(E20&gt;Assumptions!B72,45,0)</f>
        <v>31</v>
      </c>
      <c r="M20" s="6" t="n">
        <f aca="false">Assumptions!B76+Assumptions!B77</f>
        <v>35</v>
      </c>
      <c r="N20" s="6" t="n">
        <f aca="false">Assumptions!B81+Assumptions!B82+Assumptions!B87/12+Assumptions!B84</f>
        <v>92</v>
      </c>
      <c r="O20" s="6" t="n">
        <f aca="false">ROUND(I20*Assumptions!B85+E20*Assumptions!B86+W20*Assumptions!B85+ROUND(B20*Assumptions!B137*Assumptions!B138*Assumptions!B139,0)*Assumptions!B86,0)</f>
        <v>14</v>
      </c>
      <c r="P20" s="18" t="n">
        <f aca="false">K20+L20+M20+N20+O20+X20</f>
        <v>189</v>
      </c>
      <c r="Q20" s="18" t="n">
        <f aca="false">I20-P20</f>
        <v>6</v>
      </c>
      <c r="R20" s="6" t="n">
        <f aca="false">ROUND(B20*Assumptions!B51*Assumptions!B52,0)</f>
        <v>638</v>
      </c>
      <c r="S20" s="18" t="n">
        <f aca="false">I20+R20+W20</f>
        <v>904</v>
      </c>
      <c r="T20" s="18" t="n">
        <f aca="false">IF(U20&lt;P20*3,0,IF(U20&lt;P20*6,ROUND((Q20+R20+W20)*0.75*Assumptions!B113,0),ROUND((Q20+R20+W20)*0.75*Assumptions!B114,0)))</f>
        <v>205</v>
      </c>
      <c r="U20" s="18" t="n">
        <f aca="false">U19+Q20+R20+W20</f>
        <v>1680</v>
      </c>
      <c r="V20" s="19" t="str">
        <f aca="false">IF(B20&gt;=Assumptions!B107,"Signal 6",IF(B20&gt;=Assumptions!B106,"Signal 5",IF(B20&gt;=Assumptions!B105,"Signal 4",IF(B20&gt;=Assumptions!B104,"Signal 3",IF(B20&gt;=Assumptions!B103,"Signal 2",IF(B20&gt;=Assumptions!B102,"Signal 1","Pre-Signal 1"))))))</f>
        <v>Pre-Signal 1</v>
      </c>
      <c r="W20" s="6" t="n">
        <f aca="false">ROUND(B20*Assumptions!B137*Assumptions!B138*Assumptions!B139*Assumptions!B136,0)</f>
        <v>71</v>
      </c>
      <c r="X20" s="6" t="n">
        <f aca="false">ROUND(B20*Assumptions!B137*Assumptions!B65,0)</f>
        <v>12</v>
      </c>
    </row>
    <row r="21" customFormat="false" ht="15" hidden="false" customHeight="false" outlineLevel="0" collapsed="false">
      <c r="A21" s="20" t="n">
        <v>16</v>
      </c>
      <c r="B21" s="8" t="n">
        <f aca="false">B20*(1+Assumptions!B33)</f>
        <v>1969.91701991713</v>
      </c>
      <c r="C21" s="8" t="n">
        <f aca="false">ROUND(B21*Assumptions!B25,0)</f>
        <v>39</v>
      </c>
      <c r="D21" s="8" t="n">
        <f aca="false">ROUND(B21*Assumptions!B22,0)</f>
        <v>3</v>
      </c>
      <c r="E21" s="20" t="n">
        <f aca="false">E20+D21-F21</f>
        <v>19</v>
      </c>
      <c r="F21" s="8" t="n">
        <f aca="false">ROUND(E20*Assumptions!B43,0)</f>
        <v>1</v>
      </c>
      <c r="G21" s="20" t="n">
        <f aca="false">D21-F21</f>
        <v>2</v>
      </c>
      <c r="H21" s="20" t="n">
        <f aca="false">ROUND(E21*(Assumptions!B15*0.85+Assumptions!B11*0.15),0)</f>
        <v>218</v>
      </c>
      <c r="I21" s="20" t="n">
        <f aca="false">H21</f>
        <v>218</v>
      </c>
      <c r="J21" s="8" t="n">
        <f aca="false">ROUND(E21*Assumptions!B68,0)</f>
        <v>67</v>
      </c>
      <c r="K21" s="8" t="n">
        <f aca="false">ROUND(J21*Assumptions!B65,0)</f>
        <v>5</v>
      </c>
      <c r="L21" s="8" t="n">
        <f aca="false">Assumptions!B70+IF(E21&gt;Assumptions!B72,45,0)</f>
        <v>31</v>
      </c>
      <c r="M21" s="8" t="n">
        <f aca="false">Assumptions!B76+Assumptions!B77</f>
        <v>35</v>
      </c>
      <c r="N21" s="8" t="n">
        <f aca="false">Assumptions!B81+Assumptions!B82+Assumptions!B87/12+Assumptions!B84</f>
        <v>92</v>
      </c>
      <c r="O21" s="8" t="n">
        <f aca="false">ROUND(I21*Assumptions!B85+E21*Assumptions!B86+W21*Assumptions!B85+ROUND(B21*Assumptions!B137*Assumptions!B138*Assumptions!B139,0)*Assumptions!B86,0)</f>
        <v>16</v>
      </c>
      <c r="P21" s="20" t="n">
        <f aca="false">K21+L21+M21+N21+O21+X21</f>
        <v>192</v>
      </c>
      <c r="Q21" s="20" t="n">
        <f aca="false">I21-P21</f>
        <v>26</v>
      </c>
      <c r="R21" s="8" t="n">
        <f aca="false">ROUND(B21*Assumptions!B51*Assumptions!B52,0)</f>
        <v>689</v>
      </c>
      <c r="S21" s="20" t="n">
        <f aca="false">I21+R21+W21</f>
        <v>984</v>
      </c>
      <c r="T21" s="20" t="n">
        <f aca="false">IF(U21&lt;P21*3,0,IF(U21&lt;P21*6,ROUND((Q21+R21+W21)*0.75*Assumptions!B113,0),ROUND((Q21+R21+W21)*0.75*Assumptions!B114,0)))</f>
        <v>227</v>
      </c>
      <c r="U21" s="20" t="n">
        <f aca="false">U20+Q21+R21+W21</f>
        <v>2472</v>
      </c>
      <c r="V21" s="21" t="str">
        <f aca="false">IF(B21&gt;=Assumptions!B107,"Signal 6",IF(B21&gt;=Assumptions!B106,"Signal 5",IF(B21&gt;=Assumptions!B105,"Signal 4",IF(B21&gt;=Assumptions!B104,"Signal 3",IF(B21&gt;=Assumptions!B103,"Signal 2",IF(B21&gt;=Assumptions!B102,"Signal 1","Pre-Signal 1"))))))</f>
        <v>Pre-Signal 1</v>
      </c>
      <c r="W21" s="8" t="n">
        <f aca="false">ROUND(B21*Assumptions!B137*Assumptions!B138*Assumptions!B139*Assumptions!B136,0)</f>
        <v>77</v>
      </c>
      <c r="X21" s="8" t="n">
        <f aca="false">ROUND(B21*Assumptions!B137*Assumptions!B65,0)</f>
        <v>13</v>
      </c>
    </row>
    <row r="22" customFormat="false" ht="15" hidden="false" customHeight="false" outlineLevel="0" collapsed="false">
      <c r="A22" s="18" t="n">
        <v>17</v>
      </c>
      <c r="B22" s="6" t="n">
        <f aca="false">B21*(1+Assumptions!B33)</f>
        <v>2127.5103815105</v>
      </c>
      <c r="C22" s="6" t="n">
        <f aca="false">ROUND(B22*Assumptions!B25,0)</f>
        <v>43</v>
      </c>
      <c r="D22" s="6" t="n">
        <f aca="false">ROUND(B22*Assumptions!B22,0)</f>
        <v>3</v>
      </c>
      <c r="E22" s="18" t="n">
        <f aca="false">E21+D22-F22</f>
        <v>20</v>
      </c>
      <c r="F22" s="6" t="n">
        <f aca="false">ROUND(E21*Assumptions!B43,0)</f>
        <v>2</v>
      </c>
      <c r="G22" s="18" t="n">
        <f aca="false">D22-F22</f>
        <v>1</v>
      </c>
      <c r="H22" s="18" t="n">
        <f aca="false">ROUND(E22*(Assumptions!B15*0.85+Assumptions!B11*0.15),0)</f>
        <v>230</v>
      </c>
      <c r="I22" s="18" t="n">
        <f aca="false">H22</f>
        <v>230</v>
      </c>
      <c r="J22" s="6" t="n">
        <f aca="false">ROUND(E22*Assumptions!B68,0)</f>
        <v>70</v>
      </c>
      <c r="K22" s="6" t="n">
        <f aca="false">ROUND(J22*Assumptions!B65,0)</f>
        <v>6</v>
      </c>
      <c r="L22" s="6" t="n">
        <f aca="false">Assumptions!B70+IF(E22&gt;Assumptions!B72,45,0)</f>
        <v>31</v>
      </c>
      <c r="M22" s="6" t="n">
        <f aca="false">Assumptions!B76+Assumptions!B77</f>
        <v>35</v>
      </c>
      <c r="N22" s="6" t="n">
        <f aca="false">Assumptions!B81+Assumptions!B82+Assumptions!B87/12+Assumptions!B84</f>
        <v>92</v>
      </c>
      <c r="O22" s="6" t="n">
        <f aca="false">ROUND(I22*Assumptions!B85+E22*Assumptions!B86+W22*Assumptions!B85+ROUND(B22*Assumptions!B137*Assumptions!B138*Assumptions!B139,0)*Assumptions!B86,0)</f>
        <v>17</v>
      </c>
      <c r="P22" s="18" t="n">
        <f aca="false">K22+L22+M22+N22+O22+X22</f>
        <v>195</v>
      </c>
      <c r="Q22" s="18" t="n">
        <f aca="false">I22-P22</f>
        <v>35</v>
      </c>
      <c r="R22" s="6" t="n">
        <f aca="false">ROUND(B22*Assumptions!B51*Assumptions!B52,0)</f>
        <v>745</v>
      </c>
      <c r="S22" s="18" t="n">
        <f aca="false">I22+R22+W22</f>
        <v>1058</v>
      </c>
      <c r="T22" s="18" t="n">
        <f aca="false">IF(U22&lt;P22*3,0,IF(U22&lt;P22*6,ROUND((Q22+R22+W22)*0.75*Assumptions!B113,0),ROUND((Q22+R22+W22)*0.75*Assumptions!B114,0)))</f>
        <v>247</v>
      </c>
      <c r="U22" s="18" t="n">
        <f aca="false">U21+Q22+R22+W22</f>
        <v>3335</v>
      </c>
      <c r="V22" s="19" t="str">
        <f aca="false">IF(B22&gt;=Assumptions!B107,"Signal 6",IF(B22&gt;=Assumptions!B106,"Signal 5",IF(B22&gt;=Assumptions!B105,"Signal 4",IF(B22&gt;=Assumptions!B104,"Signal 3",IF(B22&gt;=Assumptions!B103,"Signal 2",IF(B22&gt;=Assumptions!B102,"Signal 1","Pre-Signal 1"))))))</f>
        <v>Pre-Signal 1</v>
      </c>
      <c r="W22" s="6" t="n">
        <f aca="false">ROUND(B22*Assumptions!B137*Assumptions!B138*Assumptions!B139*Assumptions!B136,0)</f>
        <v>83</v>
      </c>
      <c r="X22" s="6" t="n">
        <f aca="false">ROUND(B22*Assumptions!B137*Assumptions!B65,0)</f>
        <v>14</v>
      </c>
    </row>
    <row r="23" customFormat="false" ht="15" hidden="false" customHeight="false" outlineLevel="0" collapsed="false">
      <c r="A23" s="20" t="n">
        <v>18</v>
      </c>
      <c r="B23" s="8" t="n">
        <f aca="false">B22*(1+Assumptions!B33)</f>
        <v>2297.71121203134</v>
      </c>
      <c r="C23" s="8" t="n">
        <f aca="false">ROUND(B23*Assumptions!B25,0)</f>
        <v>46</v>
      </c>
      <c r="D23" s="8" t="n">
        <f aca="false">ROUND(B23*Assumptions!B22,0)</f>
        <v>3</v>
      </c>
      <c r="E23" s="20" t="n">
        <f aca="false">E22+D23-F23</f>
        <v>21</v>
      </c>
      <c r="F23" s="8" t="n">
        <f aca="false">ROUND(E22*Assumptions!B43,0)</f>
        <v>2</v>
      </c>
      <c r="G23" s="20" t="n">
        <f aca="false">D23-F23</f>
        <v>1</v>
      </c>
      <c r="H23" s="20" t="n">
        <f aca="false">ROUND(E23*(Assumptions!B15*0.85+Assumptions!B11*0.15),0)</f>
        <v>241</v>
      </c>
      <c r="I23" s="20" t="n">
        <f aca="false">H23</f>
        <v>241</v>
      </c>
      <c r="J23" s="8" t="n">
        <f aca="false">ROUND(E23*Assumptions!B68,0)</f>
        <v>74</v>
      </c>
      <c r="K23" s="8" t="n">
        <f aca="false">ROUND(J23*Assumptions!B65,0)</f>
        <v>6</v>
      </c>
      <c r="L23" s="8" t="n">
        <f aca="false">Assumptions!B70+IF(E23&gt;Assumptions!B72,45,0)</f>
        <v>31</v>
      </c>
      <c r="M23" s="8" t="n">
        <f aca="false">Assumptions!B76+Assumptions!B77</f>
        <v>35</v>
      </c>
      <c r="N23" s="8" t="n">
        <f aca="false">Assumptions!B81+Assumptions!B82+Assumptions!B87/12+Assumptions!B84</f>
        <v>92</v>
      </c>
      <c r="O23" s="8" t="n">
        <f aca="false">ROUND(I23*Assumptions!B85+E23*Assumptions!B86+W23*Assumptions!B85+ROUND(B23*Assumptions!B137*Assumptions!B138*Assumptions!B139,0)*Assumptions!B86,0)</f>
        <v>18</v>
      </c>
      <c r="P23" s="20" t="n">
        <f aca="false">K23+L23+M23+N23+O23+X23</f>
        <v>197</v>
      </c>
      <c r="Q23" s="20" t="n">
        <f aca="false">I23-P23</f>
        <v>44</v>
      </c>
      <c r="R23" s="8" t="n">
        <f aca="false">ROUND(B23*Assumptions!B51*Assumptions!B52,0)</f>
        <v>804</v>
      </c>
      <c r="S23" s="20" t="n">
        <f aca="false">I23+R23+W23</f>
        <v>1135</v>
      </c>
      <c r="T23" s="20" t="n">
        <f aca="false">IF(U23&lt;P23*3,0,IF(U23&lt;P23*6,ROUND((Q23+R23+W23)*0.75*Assumptions!B113,0),ROUND((Q23+R23+W23)*0.75*Assumptions!B114,0)))</f>
        <v>269</v>
      </c>
      <c r="U23" s="20" t="n">
        <f aca="false">U22+Q23+R23+W23</f>
        <v>4273</v>
      </c>
      <c r="V23" s="21" t="str">
        <f aca="false">IF(B23&gt;=Assumptions!B107,"Signal 6",IF(B23&gt;=Assumptions!B106,"Signal 5",IF(B23&gt;=Assumptions!B105,"Signal 4",IF(B23&gt;=Assumptions!B104,"Signal 3",IF(B23&gt;=Assumptions!B103,"Signal 2",IF(B23&gt;=Assumptions!B102,"Signal 1","Pre-Signal 1"))))))</f>
        <v>Pre-Signal 1</v>
      </c>
      <c r="W23" s="8" t="n">
        <f aca="false">ROUND(B23*Assumptions!B137*Assumptions!B138*Assumptions!B139*Assumptions!B136,0)</f>
        <v>90</v>
      </c>
      <c r="X23" s="8" t="n">
        <f aca="false">ROUND(B23*Assumptions!B137*Assumptions!B65,0)</f>
        <v>15</v>
      </c>
    </row>
    <row r="24" customFormat="false" ht="15" hidden="false" customHeight="false" outlineLevel="0" collapsed="false">
      <c r="A24" s="18" t="n">
        <v>19</v>
      </c>
      <c r="B24" s="6" t="n">
        <f aca="false">B23*(1+Assumptions!B33)</f>
        <v>2481.52810899384</v>
      </c>
      <c r="C24" s="6" t="n">
        <f aca="false">ROUND(B24*Assumptions!B25,0)</f>
        <v>50</v>
      </c>
      <c r="D24" s="6" t="n">
        <f aca="false">ROUND(B24*Assumptions!B22,0)</f>
        <v>4</v>
      </c>
      <c r="E24" s="18" t="n">
        <f aca="false">E23+D24-F24</f>
        <v>23</v>
      </c>
      <c r="F24" s="6" t="n">
        <f aca="false">ROUND(E23*Assumptions!B43,0)</f>
        <v>2</v>
      </c>
      <c r="G24" s="18" t="n">
        <f aca="false">D24-F24</f>
        <v>2</v>
      </c>
      <c r="H24" s="18" t="n">
        <f aca="false">ROUND(E24*(Assumptions!B15*0.85+Assumptions!B11*0.15),0)</f>
        <v>264</v>
      </c>
      <c r="I24" s="18" t="n">
        <f aca="false">H24</f>
        <v>264</v>
      </c>
      <c r="J24" s="6" t="n">
        <f aca="false">ROUND(E24*Assumptions!B68,0)</f>
        <v>81</v>
      </c>
      <c r="K24" s="6" t="n">
        <f aca="false">ROUND(J24*Assumptions!B65,0)</f>
        <v>6</v>
      </c>
      <c r="L24" s="6" t="n">
        <f aca="false">Assumptions!B70+IF(E24&gt;Assumptions!B72,45,0)</f>
        <v>31</v>
      </c>
      <c r="M24" s="6" t="n">
        <f aca="false">Assumptions!B76+Assumptions!B77</f>
        <v>35</v>
      </c>
      <c r="N24" s="6" t="n">
        <f aca="false">Assumptions!B81+Assumptions!B82+Assumptions!B87/12+Assumptions!B84</f>
        <v>92</v>
      </c>
      <c r="O24" s="6" t="n">
        <f aca="false">ROUND(I24*Assumptions!B85+E24*Assumptions!B86+W24*Assumptions!B85+ROUND(B24*Assumptions!B137*Assumptions!B138*Assumptions!B139,0)*Assumptions!B86,0)</f>
        <v>19</v>
      </c>
      <c r="P24" s="18" t="n">
        <f aca="false">K24+L24+M24+N24+O24+X24</f>
        <v>199</v>
      </c>
      <c r="Q24" s="18" t="n">
        <f aca="false">I24-P24</f>
        <v>65</v>
      </c>
      <c r="R24" s="6" t="n">
        <f aca="false">ROUND(B24*Assumptions!B51*Assumptions!B52,0)</f>
        <v>869</v>
      </c>
      <c r="S24" s="18" t="n">
        <f aca="false">I24+R24+W24</f>
        <v>1230</v>
      </c>
      <c r="T24" s="18" t="n">
        <f aca="false">IF(U24&lt;P24*3,0,IF(U24&lt;P24*6,ROUND((Q24+R24+W24)*0.75*Assumptions!B113,0),ROUND((Q24+R24+W24)*0.75*Assumptions!B114,0)))</f>
        <v>295</v>
      </c>
      <c r="U24" s="18" t="n">
        <f aca="false">U23+Q24+R24+W24</f>
        <v>5304</v>
      </c>
      <c r="V24" s="19" t="str">
        <f aca="false">IF(B24&gt;=Assumptions!B107,"Signal 6",IF(B24&gt;=Assumptions!B106,"Signal 5",IF(B24&gt;=Assumptions!B105,"Signal 4",IF(B24&gt;=Assumptions!B104,"Signal 3",IF(B24&gt;=Assumptions!B103,"Signal 2",IF(B24&gt;=Assumptions!B102,"Signal 1","Pre-Signal 1"))))))</f>
        <v>Pre-Signal 1</v>
      </c>
      <c r="W24" s="6" t="n">
        <f aca="false">ROUND(B24*Assumptions!B137*Assumptions!B138*Assumptions!B139*Assumptions!B136,0)</f>
        <v>97</v>
      </c>
      <c r="X24" s="6" t="n">
        <f aca="false">ROUND(B24*Assumptions!B137*Assumptions!B65,0)</f>
        <v>16</v>
      </c>
    </row>
    <row r="25" customFormat="false" ht="15" hidden="false" customHeight="false" outlineLevel="0" collapsed="false">
      <c r="A25" s="20" t="n">
        <v>20</v>
      </c>
      <c r="B25" s="8" t="n">
        <f aca="false">B24*(1+Assumptions!B33)</f>
        <v>2680.05035771335</v>
      </c>
      <c r="C25" s="8" t="n">
        <f aca="false">ROUND(B25*Assumptions!B25,0)</f>
        <v>54</v>
      </c>
      <c r="D25" s="8" t="n">
        <f aca="false">ROUND(B25*Assumptions!B22,0)</f>
        <v>4</v>
      </c>
      <c r="E25" s="20" t="n">
        <f aca="false">E24+D25-F25</f>
        <v>25</v>
      </c>
      <c r="F25" s="8" t="n">
        <f aca="false">ROUND(E24*Assumptions!B43,0)</f>
        <v>2</v>
      </c>
      <c r="G25" s="20" t="n">
        <f aca="false">D25-F25</f>
        <v>2</v>
      </c>
      <c r="H25" s="20" t="n">
        <f aca="false">ROUND(E25*(Assumptions!B15*0.85+Assumptions!B11*0.15),0)</f>
        <v>287</v>
      </c>
      <c r="I25" s="20" t="n">
        <f aca="false">H25</f>
        <v>287</v>
      </c>
      <c r="J25" s="8" t="n">
        <f aca="false">ROUND(E25*Assumptions!B68,0)</f>
        <v>88</v>
      </c>
      <c r="K25" s="8" t="n">
        <f aca="false">ROUND(J25*Assumptions!B65,0)</f>
        <v>7</v>
      </c>
      <c r="L25" s="8" t="n">
        <f aca="false">Assumptions!B70+IF(E25&gt;Assumptions!B72,45,0)</f>
        <v>31</v>
      </c>
      <c r="M25" s="8" t="n">
        <f aca="false">Assumptions!B76+Assumptions!B77</f>
        <v>35</v>
      </c>
      <c r="N25" s="8" t="n">
        <f aca="false">Assumptions!B81+Assumptions!B82+Assumptions!B87/12+Assumptions!B84</f>
        <v>92</v>
      </c>
      <c r="O25" s="8" t="n">
        <f aca="false">ROUND(I25*Assumptions!B85+E25*Assumptions!B86+W25*Assumptions!B85+ROUND(B25*Assumptions!B137*Assumptions!B138*Assumptions!B139,0)*Assumptions!B86,0)</f>
        <v>21</v>
      </c>
      <c r="P25" s="20" t="n">
        <f aca="false">K25+L25+M25+N25+O25+X25</f>
        <v>203</v>
      </c>
      <c r="Q25" s="20" t="n">
        <f aca="false">I25-P25</f>
        <v>84</v>
      </c>
      <c r="R25" s="8" t="n">
        <f aca="false">ROUND(B25*Assumptions!B51*Assumptions!B52,0)</f>
        <v>938</v>
      </c>
      <c r="S25" s="20" t="n">
        <f aca="false">I25+R25+W25</f>
        <v>1330</v>
      </c>
      <c r="T25" s="20" t="n">
        <f aca="false">IF(U25&lt;P25*3,0,IF(U25&lt;P25*6,ROUND((Q25+R25+W25)*0.75*Assumptions!B113,0),ROUND((Q25+R25+W25)*0.75*Assumptions!B114,0)))</f>
        <v>323</v>
      </c>
      <c r="U25" s="20" t="n">
        <f aca="false">U24+Q25+R25+W25</f>
        <v>6431</v>
      </c>
      <c r="V25" s="21" t="str">
        <f aca="false">IF(B25&gt;=Assumptions!B107,"Signal 6",IF(B25&gt;=Assumptions!B106,"Signal 5",IF(B25&gt;=Assumptions!B105,"Signal 4",IF(B25&gt;=Assumptions!B104,"Signal 3",IF(B25&gt;=Assumptions!B103,"Signal 2",IF(B25&gt;=Assumptions!B102,"Signal 1","Pre-Signal 1"))))))</f>
        <v>Pre-Signal 1</v>
      </c>
      <c r="W25" s="8" t="n">
        <f aca="false">ROUND(B25*Assumptions!B137*Assumptions!B138*Assumptions!B139*Assumptions!B136,0)</f>
        <v>105</v>
      </c>
      <c r="X25" s="8" t="n">
        <f aca="false">ROUND(B25*Assumptions!B137*Assumptions!B65,0)</f>
        <v>17</v>
      </c>
    </row>
    <row r="26" customFormat="false" ht="15" hidden="false" customHeight="false" outlineLevel="0" collapsed="false">
      <c r="A26" s="18" t="n">
        <v>21</v>
      </c>
      <c r="B26" s="6" t="n">
        <f aca="false">B25*(1+Assumptions!B33)</f>
        <v>2894.45438633042</v>
      </c>
      <c r="C26" s="6" t="n">
        <f aca="false">ROUND(B26*Assumptions!B25,0)</f>
        <v>58</v>
      </c>
      <c r="D26" s="6" t="n">
        <f aca="false">ROUND(B26*Assumptions!B22,0)</f>
        <v>4</v>
      </c>
      <c r="E26" s="18" t="n">
        <f aca="false">E25+D26-F26</f>
        <v>27</v>
      </c>
      <c r="F26" s="6" t="n">
        <f aca="false">ROUND(E25*Assumptions!B43,0)</f>
        <v>2</v>
      </c>
      <c r="G26" s="18" t="n">
        <f aca="false">D26-F26</f>
        <v>2</v>
      </c>
      <c r="H26" s="18" t="n">
        <f aca="false">ROUND(E26*(Assumptions!B15*0.85+Assumptions!B11*0.15),0)</f>
        <v>310</v>
      </c>
      <c r="I26" s="18" t="n">
        <f aca="false">H26</f>
        <v>310</v>
      </c>
      <c r="J26" s="6" t="n">
        <f aca="false">ROUND(E26*Assumptions!B68,0)</f>
        <v>95</v>
      </c>
      <c r="K26" s="6" t="n">
        <f aca="false">ROUND(J26*Assumptions!B65,0)</f>
        <v>8</v>
      </c>
      <c r="L26" s="6" t="n">
        <f aca="false">Assumptions!B70+IF(E26&gt;Assumptions!B72,45,0)</f>
        <v>31</v>
      </c>
      <c r="M26" s="6" t="n">
        <f aca="false">Assumptions!B76+Assumptions!B77</f>
        <v>35</v>
      </c>
      <c r="N26" s="6" t="n">
        <f aca="false">Assumptions!B81+Assumptions!B82+Assumptions!B87/12+Assumptions!B84</f>
        <v>92</v>
      </c>
      <c r="O26" s="6" t="n">
        <f aca="false">ROUND(I26*Assumptions!B85+E26*Assumptions!B86+W26*Assumptions!B85+ROUND(B26*Assumptions!B137*Assumptions!B138*Assumptions!B139,0)*Assumptions!B86,0)</f>
        <v>23</v>
      </c>
      <c r="P26" s="18" t="n">
        <f aca="false">K26+L26+M26+N26+O26+X26</f>
        <v>208</v>
      </c>
      <c r="Q26" s="18" t="n">
        <f aca="false">I26-P26</f>
        <v>102</v>
      </c>
      <c r="R26" s="6" t="n">
        <f aca="false">ROUND(B26*Assumptions!B51*Assumptions!B52,0)</f>
        <v>1013</v>
      </c>
      <c r="S26" s="18" t="n">
        <f aca="false">I26+R26+W26</f>
        <v>1436</v>
      </c>
      <c r="T26" s="18" t="n">
        <f aca="false">IF(U26&lt;P26*3,0,IF(U26&lt;P26*6,ROUND((Q26+R26+W26)*0.75*Assumptions!B113,0),ROUND((Q26+R26+W26)*0.75*Assumptions!B114,0)))</f>
        <v>352</v>
      </c>
      <c r="U26" s="18" t="n">
        <f aca="false">U25+Q26+R26+W26</f>
        <v>7659</v>
      </c>
      <c r="V26" s="19" t="str">
        <f aca="false">IF(B26&gt;=Assumptions!B107,"Signal 6",IF(B26&gt;=Assumptions!B106,"Signal 5",IF(B26&gt;=Assumptions!B105,"Signal 4",IF(B26&gt;=Assumptions!B104,"Signal 3",IF(B26&gt;=Assumptions!B103,"Signal 2",IF(B26&gt;=Assumptions!B102,"Signal 1","Pre-Signal 1"))))))</f>
        <v>Pre-Signal 1</v>
      </c>
      <c r="W26" s="6" t="n">
        <f aca="false">ROUND(B26*Assumptions!B137*Assumptions!B138*Assumptions!B139*Assumptions!B136,0)</f>
        <v>113</v>
      </c>
      <c r="X26" s="6" t="n">
        <f aca="false">ROUND(B26*Assumptions!B137*Assumptions!B65,0)</f>
        <v>19</v>
      </c>
    </row>
    <row r="27" customFormat="false" ht="15" hidden="false" customHeight="false" outlineLevel="0" collapsed="false">
      <c r="A27" s="20" t="n">
        <v>22</v>
      </c>
      <c r="B27" s="8" t="n">
        <f aca="false">B26*(1+Assumptions!B33)</f>
        <v>3126.01073723685</v>
      </c>
      <c r="C27" s="8" t="n">
        <f aca="false">ROUND(B27*Assumptions!B25,0)</f>
        <v>63</v>
      </c>
      <c r="D27" s="8" t="n">
        <f aca="false">ROUND(B27*Assumptions!B22,0)</f>
        <v>5</v>
      </c>
      <c r="E27" s="20" t="n">
        <f aca="false">E26+D27-F27</f>
        <v>30</v>
      </c>
      <c r="F27" s="8" t="n">
        <f aca="false">ROUND(E26*Assumptions!B43,0)</f>
        <v>2</v>
      </c>
      <c r="G27" s="20" t="n">
        <f aca="false">D27-F27</f>
        <v>3</v>
      </c>
      <c r="H27" s="20" t="n">
        <f aca="false">ROUND(E27*(Assumptions!B15*0.85+Assumptions!B11*0.15),0)</f>
        <v>344</v>
      </c>
      <c r="I27" s="20" t="n">
        <f aca="false">H27</f>
        <v>344</v>
      </c>
      <c r="J27" s="8" t="n">
        <f aca="false">ROUND(E27*Assumptions!B68,0)</f>
        <v>105</v>
      </c>
      <c r="K27" s="8" t="n">
        <f aca="false">ROUND(J27*Assumptions!B65,0)</f>
        <v>8</v>
      </c>
      <c r="L27" s="8" t="n">
        <f aca="false">Assumptions!B70+IF(E27&gt;Assumptions!B72,45,0)</f>
        <v>31</v>
      </c>
      <c r="M27" s="8" t="n">
        <f aca="false">Assumptions!B76+Assumptions!B77</f>
        <v>35</v>
      </c>
      <c r="N27" s="8" t="n">
        <f aca="false">Assumptions!B81+Assumptions!B82+Assumptions!B87/12+Assumptions!B84</f>
        <v>92</v>
      </c>
      <c r="O27" s="8" t="n">
        <f aca="false">ROUND(I27*Assumptions!B85+E27*Assumptions!B86+W27*Assumptions!B85+ROUND(B27*Assumptions!B137*Assumptions!B138*Assumptions!B139,0)*Assumptions!B86,0)</f>
        <v>25</v>
      </c>
      <c r="P27" s="20" t="n">
        <f aca="false">K27+L27+M27+N27+O27+X27</f>
        <v>211</v>
      </c>
      <c r="Q27" s="20" t="n">
        <f aca="false">I27-P27</f>
        <v>133</v>
      </c>
      <c r="R27" s="8" t="n">
        <f aca="false">ROUND(B27*Assumptions!B51*Assumptions!B52,0)</f>
        <v>1094</v>
      </c>
      <c r="S27" s="20" t="n">
        <f aca="false">I27+R27+W27</f>
        <v>1560</v>
      </c>
      <c r="T27" s="20" t="n">
        <f aca="false">IF(U27&lt;P27*3,0,IF(U27&lt;P27*6,ROUND((Q27+R27+W27)*0.75*Assumptions!B113,0),ROUND((Q27+R27+W27)*0.75*Assumptions!B114,0)))</f>
        <v>386</v>
      </c>
      <c r="U27" s="20" t="n">
        <f aca="false">U26+Q27+R27+W27</f>
        <v>9008</v>
      </c>
      <c r="V27" s="21" t="str">
        <f aca="false">IF(B27&gt;=Assumptions!B107,"Signal 6",IF(B27&gt;=Assumptions!B106,"Signal 5",IF(B27&gt;=Assumptions!B105,"Signal 4",IF(B27&gt;=Assumptions!B104,"Signal 3",IF(B27&gt;=Assumptions!B103,"Signal 2",IF(B27&gt;=Assumptions!B102,"Signal 1","Pre-Signal 1"))))))</f>
        <v>Pre-Signal 1</v>
      </c>
      <c r="W27" s="8" t="n">
        <f aca="false">ROUND(B27*Assumptions!B137*Assumptions!B138*Assumptions!B139*Assumptions!B136,0)</f>
        <v>122</v>
      </c>
      <c r="X27" s="8" t="n">
        <f aca="false">ROUND(B27*Assumptions!B137*Assumptions!B65,0)</f>
        <v>20</v>
      </c>
    </row>
    <row r="28" customFormat="false" ht="15" hidden="false" customHeight="false" outlineLevel="0" collapsed="false">
      <c r="A28" s="18" t="n">
        <v>23</v>
      </c>
      <c r="B28" s="6" t="n">
        <f aca="false">B27*(1+Assumptions!B33)</f>
        <v>3376.0915962158</v>
      </c>
      <c r="C28" s="6" t="n">
        <f aca="false">ROUND(B28*Assumptions!B25,0)</f>
        <v>68</v>
      </c>
      <c r="D28" s="6" t="n">
        <f aca="false">ROUND(B28*Assumptions!B22,0)</f>
        <v>5</v>
      </c>
      <c r="E28" s="18" t="n">
        <f aca="false">E27+D28-F28</f>
        <v>33</v>
      </c>
      <c r="F28" s="6" t="n">
        <f aca="false">ROUND(E27*Assumptions!B43,0)</f>
        <v>2</v>
      </c>
      <c r="G28" s="18" t="n">
        <f aca="false">D28-F28</f>
        <v>3</v>
      </c>
      <c r="H28" s="18" t="n">
        <f aca="false">ROUND(E28*(Assumptions!B15*0.85+Assumptions!B11*0.15),0)</f>
        <v>379</v>
      </c>
      <c r="I28" s="18" t="n">
        <f aca="false">H28</f>
        <v>379</v>
      </c>
      <c r="J28" s="6" t="n">
        <f aca="false">ROUND(E28*Assumptions!B68,0)</f>
        <v>116</v>
      </c>
      <c r="K28" s="6" t="n">
        <f aca="false">ROUND(J28*Assumptions!B65,0)</f>
        <v>9</v>
      </c>
      <c r="L28" s="6" t="n">
        <f aca="false">Assumptions!B70+IF(E28&gt;Assumptions!B72,45,0)</f>
        <v>31</v>
      </c>
      <c r="M28" s="6" t="n">
        <f aca="false">Assumptions!B76+Assumptions!B77</f>
        <v>35</v>
      </c>
      <c r="N28" s="6" t="n">
        <f aca="false">Assumptions!B81+Assumptions!B82+Assumptions!B87/12+Assumptions!B84</f>
        <v>92</v>
      </c>
      <c r="O28" s="6" t="n">
        <f aca="false">ROUND(I28*Assumptions!B85+E28*Assumptions!B86+W28*Assumptions!B85+ROUND(B28*Assumptions!B137*Assumptions!B138*Assumptions!B139,0)*Assumptions!B86,0)</f>
        <v>28</v>
      </c>
      <c r="P28" s="18" t="n">
        <f aca="false">K28+L28+M28+N28+O28+X28</f>
        <v>217</v>
      </c>
      <c r="Q28" s="18" t="n">
        <f aca="false">I28-P28</f>
        <v>162</v>
      </c>
      <c r="R28" s="6" t="n">
        <f aca="false">ROUND(B28*Assumptions!B51*Assumptions!B52,0)</f>
        <v>1182</v>
      </c>
      <c r="S28" s="18" t="n">
        <f aca="false">I28+R28+W28</f>
        <v>1693</v>
      </c>
      <c r="T28" s="18" t="n">
        <f aca="false">IF(U28&lt;P28*3,0,IF(U28&lt;P28*6,ROUND((Q28+R28+W28)*0.75*Assumptions!B113,0),ROUND((Q28+R28+W28)*0.75*Assumptions!B114,0)))</f>
        <v>423</v>
      </c>
      <c r="U28" s="18" t="n">
        <f aca="false">U27+Q28+R28+W28</f>
        <v>10484</v>
      </c>
      <c r="V28" s="19" t="str">
        <f aca="false">IF(B28&gt;=Assumptions!B107,"Signal 6",IF(B28&gt;=Assumptions!B106,"Signal 5",IF(B28&gt;=Assumptions!B105,"Signal 4",IF(B28&gt;=Assumptions!B104,"Signal 3",IF(B28&gt;=Assumptions!B103,"Signal 2",IF(B28&gt;=Assumptions!B102,"Signal 1","Pre-Signal 1"))))))</f>
        <v>Pre-Signal 1</v>
      </c>
      <c r="W28" s="6" t="n">
        <f aca="false">ROUND(B28*Assumptions!B137*Assumptions!B138*Assumptions!B139*Assumptions!B136,0)</f>
        <v>132</v>
      </c>
      <c r="X28" s="6" t="n">
        <f aca="false">ROUND(B28*Assumptions!B137*Assumptions!B65,0)</f>
        <v>22</v>
      </c>
    </row>
    <row r="29" customFormat="false" ht="15" hidden="false" customHeight="false" outlineLevel="0" collapsed="false">
      <c r="A29" s="20" t="n">
        <v>24</v>
      </c>
      <c r="B29" s="8" t="n">
        <f aca="false">B28*(1+Assumptions!B33)</f>
        <v>3646.17892391307</v>
      </c>
      <c r="C29" s="8" t="n">
        <f aca="false">ROUND(B29*Assumptions!B25,0)</f>
        <v>73</v>
      </c>
      <c r="D29" s="8" t="n">
        <f aca="false">ROUND(B29*Assumptions!B22,0)</f>
        <v>5</v>
      </c>
      <c r="E29" s="20" t="n">
        <f aca="false">E28+D29-F29</f>
        <v>35</v>
      </c>
      <c r="F29" s="8" t="n">
        <f aca="false">ROUND(E28*Assumptions!B43,0)</f>
        <v>3</v>
      </c>
      <c r="G29" s="20" t="n">
        <f aca="false">D29-F29</f>
        <v>2</v>
      </c>
      <c r="H29" s="20" t="n">
        <f aca="false">ROUND(E29*(Assumptions!B15*0.85+Assumptions!B11*0.15),0)</f>
        <v>402</v>
      </c>
      <c r="I29" s="20" t="n">
        <f aca="false">H29</f>
        <v>402</v>
      </c>
      <c r="J29" s="8" t="n">
        <f aca="false">ROUND(E29*Assumptions!B68,0)</f>
        <v>123</v>
      </c>
      <c r="K29" s="8" t="n">
        <f aca="false">ROUND(J29*Assumptions!B65,0)</f>
        <v>10</v>
      </c>
      <c r="L29" s="8" t="n">
        <f aca="false">Assumptions!B70+IF(E29&gt;Assumptions!B72,45,0)</f>
        <v>31</v>
      </c>
      <c r="M29" s="8" t="n">
        <f aca="false">Assumptions!B76+Assumptions!B77</f>
        <v>35</v>
      </c>
      <c r="N29" s="8" t="n">
        <f aca="false">Assumptions!B81+Assumptions!B82+Assumptions!B87/12+Assumptions!B84</f>
        <v>92</v>
      </c>
      <c r="O29" s="8" t="n">
        <f aca="false">ROUND(I29*Assumptions!B85+E29*Assumptions!B86+W29*Assumptions!B85+ROUND(B29*Assumptions!B137*Assumptions!B138*Assumptions!B139,0)*Assumptions!B86,0)</f>
        <v>30</v>
      </c>
      <c r="P29" s="20" t="n">
        <f aca="false">K29+L29+M29+N29+O29+X29</f>
        <v>221</v>
      </c>
      <c r="Q29" s="20" t="n">
        <f aca="false">I29-P29</f>
        <v>181</v>
      </c>
      <c r="R29" s="8" t="n">
        <f aca="false">ROUND(B29*Assumptions!B51*Assumptions!B52,0)</f>
        <v>1276</v>
      </c>
      <c r="S29" s="20" t="n">
        <f aca="false">I29+R29+W29</f>
        <v>1820</v>
      </c>
      <c r="T29" s="20" t="n">
        <f aca="false">IF(U29&lt;P29*3,0,IF(U29&lt;P29*6,ROUND((Q29+R29+W29)*0.75*Assumptions!B113,0),ROUND((Q29+R29+W29)*0.75*Assumptions!B114,0)))</f>
        <v>458</v>
      </c>
      <c r="U29" s="20" t="n">
        <f aca="false">U28+Q29+R29+W29</f>
        <v>12083</v>
      </c>
      <c r="V29" s="21" t="str">
        <f aca="false">IF(B29&gt;=Assumptions!B107,"Signal 6",IF(B29&gt;=Assumptions!B106,"Signal 5",IF(B29&gt;=Assumptions!B105,"Signal 4",IF(B29&gt;=Assumptions!B104,"Signal 3",IF(B29&gt;=Assumptions!B103,"Signal 2",IF(B29&gt;=Assumptions!B102,"Signal 1","Pre-Signal 1"))))))</f>
        <v>Pre-Signal 1</v>
      </c>
      <c r="W29" s="8" t="n">
        <f aca="false">ROUND(B29*Assumptions!B137*Assumptions!B138*Assumptions!B139*Assumptions!B136,0)</f>
        <v>142</v>
      </c>
      <c r="X29" s="8" t="n">
        <f aca="false">ROUND(B29*Assumptions!B137*Assumptions!B65,0)</f>
        <v>23</v>
      </c>
    </row>
    <row r="30" customFormat="false" ht="15" hidden="false" customHeight="false" outlineLevel="0" collapsed="false">
      <c r="A30" s="18" t="n">
        <v>25</v>
      </c>
      <c r="B30" s="6" t="n">
        <f aca="false">B29*(1+Assumptions!B33)</f>
        <v>3937.87323782611</v>
      </c>
      <c r="C30" s="6" t="n">
        <f aca="false">ROUND(B30*Assumptions!B25,0)</f>
        <v>79</v>
      </c>
      <c r="D30" s="6" t="n">
        <f aca="false">ROUND(B30*Assumptions!B22,0)</f>
        <v>6</v>
      </c>
      <c r="E30" s="18" t="n">
        <f aca="false">E29+D30-F30</f>
        <v>38</v>
      </c>
      <c r="F30" s="6" t="n">
        <f aca="false">ROUND(E29*Assumptions!B43,0)</f>
        <v>3</v>
      </c>
      <c r="G30" s="18" t="n">
        <f aca="false">D30-F30</f>
        <v>3</v>
      </c>
      <c r="H30" s="18" t="n">
        <f aca="false">ROUND(E30*(Assumptions!B15*0.85+Assumptions!B11*0.15),0)</f>
        <v>436</v>
      </c>
      <c r="I30" s="18" t="n">
        <f aca="false">H30</f>
        <v>436</v>
      </c>
      <c r="J30" s="6" t="n">
        <f aca="false">ROUND(E30*Assumptions!B68,0)</f>
        <v>133</v>
      </c>
      <c r="K30" s="6" t="n">
        <f aca="false">ROUND(J30*Assumptions!B65,0)</f>
        <v>11</v>
      </c>
      <c r="L30" s="6" t="n">
        <f aca="false">Assumptions!B70+IF(E30&gt;Assumptions!B72,45,0)</f>
        <v>31</v>
      </c>
      <c r="M30" s="6" t="n">
        <f aca="false">Assumptions!B76+Assumptions!B77</f>
        <v>35</v>
      </c>
      <c r="N30" s="6" t="n">
        <f aca="false">Assumptions!B81+Assumptions!B82+Assumptions!B87/12+Assumptions!B84</f>
        <v>92</v>
      </c>
      <c r="O30" s="6" t="n">
        <f aca="false">ROUND(I30*Assumptions!B85+E30*Assumptions!B86+W30*Assumptions!B85+ROUND(B30*Assumptions!B137*Assumptions!B138*Assumptions!B139,0)*Assumptions!B86,0)</f>
        <v>32</v>
      </c>
      <c r="P30" s="18" t="n">
        <f aca="false">K30+L30+M30+N30+O30+X30</f>
        <v>226</v>
      </c>
      <c r="Q30" s="18" t="n">
        <f aca="false">I30-P30</f>
        <v>210</v>
      </c>
      <c r="R30" s="6" t="n">
        <f aca="false">ROUND(B30*Assumptions!B51*Assumptions!B52,0)</f>
        <v>1378</v>
      </c>
      <c r="S30" s="18" t="n">
        <f aca="false">I30+R30+W30</f>
        <v>1968</v>
      </c>
      <c r="T30" s="18" t="n">
        <f aca="false">IF(U30&lt;P30*3,0,IF(U30&lt;P30*6,ROUND((Q30+R30+W30)*0.75*Assumptions!B113,0),ROUND((Q30+R30+W30)*0.75*Assumptions!B114,0)))</f>
        <v>499</v>
      </c>
      <c r="U30" s="18" t="n">
        <f aca="false">U29+Q30+R30+W30</f>
        <v>13825</v>
      </c>
      <c r="V30" s="19" t="str">
        <f aca="false">IF(B30&gt;=Assumptions!B107,"Signal 6",IF(B30&gt;=Assumptions!B106,"Signal 5",IF(B30&gt;=Assumptions!B105,"Signal 4",IF(B30&gt;=Assumptions!B104,"Signal 3",IF(B30&gt;=Assumptions!B103,"Signal 2",IF(B30&gt;=Assumptions!B102,"Signal 1","Pre-Signal 1"))))))</f>
        <v>Pre-Signal 1</v>
      </c>
      <c r="W30" s="6" t="n">
        <f aca="false">ROUND(B30*Assumptions!B137*Assumptions!B138*Assumptions!B139*Assumptions!B136,0)</f>
        <v>154</v>
      </c>
      <c r="X30" s="6" t="n">
        <f aca="false">ROUND(B30*Assumptions!B137*Assumptions!B65,0)</f>
        <v>25</v>
      </c>
    </row>
    <row r="31" customFormat="false" ht="15" hidden="false" customHeight="false" outlineLevel="0" collapsed="false">
      <c r="A31" s="20" t="n">
        <v>26</v>
      </c>
      <c r="B31" s="8" t="n">
        <f aca="false">B30*(1+Assumptions!B33)</f>
        <v>4252.9030968522</v>
      </c>
      <c r="C31" s="8" t="n">
        <f aca="false">ROUND(B31*Assumptions!B25,0)</f>
        <v>85</v>
      </c>
      <c r="D31" s="8" t="n">
        <f aca="false">ROUND(B31*Assumptions!B22,0)</f>
        <v>6</v>
      </c>
      <c r="E31" s="20" t="n">
        <f aca="false">E30+D31-F31</f>
        <v>41</v>
      </c>
      <c r="F31" s="8" t="n">
        <f aca="false">ROUND(E30*Assumptions!B43,0)</f>
        <v>3</v>
      </c>
      <c r="G31" s="20" t="n">
        <f aca="false">D31-F31</f>
        <v>3</v>
      </c>
      <c r="H31" s="20" t="n">
        <f aca="false">ROUND(E31*(Assumptions!B15*0.85+Assumptions!B11*0.15),0)</f>
        <v>470</v>
      </c>
      <c r="I31" s="20" t="n">
        <f aca="false">H31</f>
        <v>470</v>
      </c>
      <c r="J31" s="8" t="n">
        <f aca="false">ROUND(E31*Assumptions!B68,0)</f>
        <v>144</v>
      </c>
      <c r="K31" s="8" t="n">
        <f aca="false">ROUND(J31*Assumptions!B65,0)</f>
        <v>12</v>
      </c>
      <c r="L31" s="8" t="n">
        <f aca="false">Assumptions!B70+IF(E31&gt;Assumptions!B72,45,0)</f>
        <v>31</v>
      </c>
      <c r="M31" s="8" t="n">
        <f aca="false">Assumptions!B76+Assumptions!B77</f>
        <v>35</v>
      </c>
      <c r="N31" s="8" t="n">
        <f aca="false">Assumptions!B81+Assumptions!B82+Assumptions!B87/12+Assumptions!B84</f>
        <v>92</v>
      </c>
      <c r="O31" s="8" t="n">
        <f aca="false">ROUND(I31*Assumptions!B85+E31*Assumptions!B86+W31*Assumptions!B85+ROUND(B31*Assumptions!B137*Assumptions!B138*Assumptions!B139,0)*Assumptions!B86,0)</f>
        <v>35</v>
      </c>
      <c r="P31" s="20" t="n">
        <f aca="false">K31+L31+M31+N31+O31+X31</f>
        <v>232</v>
      </c>
      <c r="Q31" s="20" t="n">
        <f aca="false">I31-P31</f>
        <v>238</v>
      </c>
      <c r="R31" s="8" t="n">
        <f aca="false">ROUND(B31*Assumptions!B51*Assumptions!B52,0)</f>
        <v>1489</v>
      </c>
      <c r="S31" s="20" t="n">
        <f aca="false">I31+R31+W31</f>
        <v>2125</v>
      </c>
      <c r="T31" s="20" t="n">
        <f aca="false">IF(U31&lt;P31*3,0,IF(U31&lt;P31*6,ROUND((Q31+R31+W31)*0.75*Assumptions!B113,0),ROUND((Q31+R31+W31)*0.75*Assumptions!B114,0)))</f>
        <v>542</v>
      </c>
      <c r="U31" s="20" t="n">
        <f aca="false">U30+Q31+R31+W31</f>
        <v>15718</v>
      </c>
      <c r="V31" s="21" t="str">
        <f aca="false">IF(B31&gt;=Assumptions!B107,"Signal 6",IF(B31&gt;=Assumptions!B106,"Signal 5",IF(B31&gt;=Assumptions!B105,"Signal 4",IF(B31&gt;=Assumptions!B104,"Signal 3",IF(B31&gt;=Assumptions!B103,"Signal 2",IF(B31&gt;=Assumptions!B102,"Signal 1","Pre-Signal 1"))))))</f>
        <v>Pre-Signal 1</v>
      </c>
      <c r="W31" s="8" t="n">
        <f aca="false">ROUND(B31*Assumptions!B137*Assumptions!B138*Assumptions!B139*Assumptions!B136,0)</f>
        <v>166</v>
      </c>
      <c r="X31" s="8" t="n">
        <f aca="false">ROUND(B31*Assumptions!B137*Assumptions!B65,0)</f>
        <v>27</v>
      </c>
    </row>
    <row r="32" customFormat="false" ht="15" hidden="false" customHeight="false" outlineLevel="0" collapsed="false">
      <c r="A32" s="18" t="n">
        <v>27</v>
      </c>
      <c r="B32" s="6" t="n">
        <f aca="false">B31*(1+Assumptions!B33)</f>
        <v>4593.13534460038</v>
      </c>
      <c r="C32" s="6" t="n">
        <f aca="false">ROUND(B32*Assumptions!B25,0)</f>
        <v>92</v>
      </c>
      <c r="D32" s="6" t="n">
        <f aca="false">ROUND(B32*Assumptions!B22,0)</f>
        <v>7</v>
      </c>
      <c r="E32" s="18" t="n">
        <f aca="false">E31+D32-F32</f>
        <v>45</v>
      </c>
      <c r="F32" s="6" t="n">
        <f aca="false">ROUND(E31*Assumptions!B43,0)</f>
        <v>3</v>
      </c>
      <c r="G32" s="18" t="n">
        <f aca="false">D32-F32</f>
        <v>4</v>
      </c>
      <c r="H32" s="18" t="n">
        <f aca="false">ROUND(E32*(Assumptions!B15*0.85+Assumptions!B11*0.15),0)</f>
        <v>516</v>
      </c>
      <c r="I32" s="18" t="n">
        <f aca="false">H32</f>
        <v>516</v>
      </c>
      <c r="J32" s="6" t="n">
        <f aca="false">ROUND(E32*Assumptions!B68,0)</f>
        <v>158</v>
      </c>
      <c r="K32" s="6" t="n">
        <f aca="false">ROUND(J32*Assumptions!B65,0)</f>
        <v>13</v>
      </c>
      <c r="L32" s="6" t="n">
        <f aca="false">Assumptions!B70+IF(E32&gt;Assumptions!B72,45,0)</f>
        <v>31</v>
      </c>
      <c r="M32" s="6" t="n">
        <f aca="false">Assumptions!B76+Assumptions!B77</f>
        <v>35</v>
      </c>
      <c r="N32" s="6" t="n">
        <f aca="false">Assumptions!B81+Assumptions!B82+Assumptions!B87/12+Assumptions!B84</f>
        <v>92</v>
      </c>
      <c r="O32" s="6" t="n">
        <f aca="false">ROUND(I32*Assumptions!B85+E32*Assumptions!B86+W32*Assumptions!B85+ROUND(B32*Assumptions!B137*Assumptions!B138*Assumptions!B139,0)*Assumptions!B86,0)</f>
        <v>38</v>
      </c>
      <c r="P32" s="18" t="n">
        <f aca="false">K32+L32+M32+N32+O32+X32</f>
        <v>238</v>
      </c>
      <c r="Q32" s="18" t="n">
        <f aca="false">I32-P32</f>
        <v>278</v>
      </c>
      <c r="R32" s="6" t="n">
        <f aca="false">ROUND(B32*Assumptions!B51*Assumptions!B52,0)</f>
        <v>1608</v>
      </c>
      <c r="S32" s="18" t="n">
        <f aca="false">I32+R32+W32</f>
        <v>2303</v>
      </c>
      <c r="T32" s="18" t="n">
        <f aca="false">IF(U32&lt;P32*3,0,IF(U32&lt;P32*6,ROUND((Q32+R32+W32)*0.75*Assumptions!B113,0),ROUND((Q32+R32+W32)*0.75*Assumptions!B114,0)))</f>
        <v>592</v>
      </c>
      <c r="U32" s="18" t="n">
        <f aca="false">U31+Q32+R32+W32</f>
        <v>17783</v>
      </c>
      <c r="V32" s="19" t="str">
        <f aca="false">IF(B32&gt;=Assumptions!B107,"Signal 6",IF(B32&gt;=Assumptions!B106,"Signal 5",IF(B32&gt;=Assumptions!B105,"Signal 4",IF(B32&gt;=Assumptions!B104,"Signal 3",IF(B32&gt;=Assumptions!B103,"Signal 2",IF(B32&gt;=Assumptions!B102,"Signal 1","Pre-Signal 1"))))))</f>
        <v>Pre-Signal 1</v>
      </c>
      <c r="W32" s="6" t="n">
        <f aca="false">ROUND(B32*Assumptions!B137*Assumptions!B138*Assumptions!B139*Assumptions!B136,0)</f>
        <v>179</v>
      </c>
      <c r="X32" s="6" t="n">
        <f aca="false">ROUND(B32*Assumptions!B137*Assumptions!B65,0)</f>
        <v>29</v>
      </c>
    </row>
    <row r="33" customFormat="false" ht="15" hidden="false" customHeight="false" outlineLevel="0" collapsed="false">
      <c r="A33" s="20" t="n">
        <v>28</v>
      </c>
      <c r="B33" s="8" t="n">
        <f aca="false">B32*(1+Assumptions!B33)</f>
        <v>4960.58617216841</v>
      </c>
      <c r="C33" s="8" t="n">
        <f aca="false">ROUND(B33*Assumptions!B25,0)</f>
        <v>99</v>
      </c>
      <c r="D33" s="8" t="n">
        <f aca="false">ROUND(B33*Assumptions!B22,0)</f>
        <v>7</v>
      </c>
      <c r="E33" s="20" t="n">
        <f aca="false">E32+D33-F33</f>
        <v>48</v>
      </c>
      <c r="F33" s="8" t="n">
        <f aca="false">ROUND(E32*Assumptions!B43,0)</f>
        <v>4</v>
      </c>
      <c r="G33" s="20" t="n">
        <f aca="false">D33-F33</f>
        <v>3</v>
      </c>
      <c r="H33" s="20" t="n">
        <f aca="false">ROUND(E33*(Assumptions!B15*0.85+Assumptions!B11*0.15),0)</f>
        <v>551</v>
      </c>
      <c r="I33" s="20" t="n">
        <f aca="false">H33</f>
        <v>551</v>
      </c>
      <c r="J33" s="8" t="n">
        <f aca="false">ROUND(E33*Assumptions!B68,0)</f>
        <v>168</v>
      </c>
      <c r="K33" s="8" t="n">
        <f aca="false">ROUND(J33*Assumptions!B65,0)</f>
        <v>13</v>
      </c>
      <c r="L33" s="8" t="n">
        <f aca="false">Assumptions!B70+IF(E33&gt;Assumptions!B72,45,0)</f>
        <v>31</v>
      </c>
      <c r="M33" s="8" t="n">
        <f aca="false">Assumptions!B76+Assumptions!B77</f>
        <v>35</v>
      </c>
      <c r="N33" s="8" t="n">
        <f aca="false">Assumptions!B81+Assumptions!B82+Assumptions!B87/12+Assumptions!B84</f>
        <v>92</v>
      </c>
      <c r="O33" s="8" t="n">
        <f aca="false">ROUND(I33*Assumptions!B85+E33*Assumptions!B86+W33*Assumptions!B85+ROUND(B33*Assumptions!B137*Assumptions!B138*Assumptions!B139,0)*Assumptions!B86,0)</f>
        <v>40</v>
      </c>
      <c r="P33" s="20" t="n">
        <f aca="false">K33+L33+M33+N33+O33+X33</f>
        <v>243</v>
      </c>
      <c r="Q33" s="20" t="n">
        <f aca="false">I33-P33</f>
        <v>308</v>
      </c>
      <c r="R33" s="8" t="n">
        <f aca="false">ROUND(B33*Assumptions!B51*Assumptions!B52,0)</f>
        <v>1736</v>
      </c>
      <c r="S33" s="20" t="n">
        <f aca="false">I33+R33+W33</f>
        <v>2480</v>
      </c>
      <c r="T33" s="20" t="n">
        <f aca="false">IF(U33&lt;P33*3,0,IF(U33&lt;P33*6,ROUND((Q33+R33+W33)*0.75*Assumptions!B113,0),ROUND((Q33+R33+W33)*0.75*Assumptions!B114,0)))</f>
        <v>641</v>
      </c>
      <c r="U33" s="20" t="n">
        <f aca="false">U32+Q33+R33+W33</f>
        <v>20020</v>
      </c>
      <c r="V33" s="21" t="str">
        <f aca="false">IF(B33&gt;=Assumptions!B107,"Signal 6",IF(B33&gt;=Assumptions!B106,"Signal 5",IF(B33&gt;=Assumptions!B105,"Signal 4",IF(B33&gt;=Assumptions!B104,"Signal 3",IF(B33&gt;=Assumptions!B103,"Signal 2",IF(B33&gt;=Assumptions!B102,"Signal 1","Pre-Signal 1"))))))</f>
        <v>Pre-Signal 1</v>
      </c>
      <c r="W33" s="8" t="n">
        <f aca="false">ROUND(B33*Assumptions!B137*Assumptions!B138*Assumptions!B139*Assumptions!B136,0)</f>
        <v>193</v>
      </c>
      <c r="X33" s="8" t="n">
        <f aca="false">ROUND(B33*Assumptions!B137*Assumptions!B65,0)</f>
        <v>32</v>
      </c>
    </row>
    <row r="34" customFormat="false" ht="15" hidden="false" customHeight="false" outlineLevel="0" collapsed="false">
      <c r="A34" s="18" t="n">
        <v>29</v>
      </c>
      <c r="B34" s="6" t="n">
        <f aca="false">B33*(1+Assumptions!B33)</f>
        <v>5357.43306594188</v>
      </c>
      <c r="C34" s="6" t="n">
        <f aca="false">ROUND(B34*Assumptions!B25,0)</f>
        <v>107</v>
      </c>
      <c r="D34" s="6" t="n">
        <f aca="false">ROUND(B34*Assumptions!B22,0)</f>
        <v>8</v>
      </c>
      <c r="E34" s="18" t="n">
        <f aca="false">E33+D34-F34</f>
        <v>52</v>
      </c>
      <c r="F34" s="6" t="n">
        <f aca="false">ROUND(E33*Assumptions!B43,0)</f>
        <v>4</v>
      </c>
      <c r="G34" s="18" t="n">
        <f aca="false">D34-F34</f>
        <v>4</v>
      </c>
      <c r="H34" s="18" t="n">
        <f aca="false">ROUND(E34*(Assumptions!B15*0.85+Assumptions!B11*0.15),0)</f>
        <v>597</v>
      </c>
      <c r="I34" s="18" t="n">
        <f aca="false">H34</f>
        <v>597</v>
      </c>
      <c r="J34" s="6" t="n">
        <f aca="false">ROUND(E34*Assumptions!B68,0)</f>
        <v>182</v>
      </c>
      <c r="K34" s="6" t="n">
        <f aca="false">ROUND(J34*Assumptions!B65,0)</f>
        <v>15</v>
      </c>
      <c r="L34" s="6" t="n">
        <f aca="false">Assumptions!B70+IF(E34&gt;Assumptions!B72,45,0)</f>
        <v>31</v>
      </c>
      <c r="M34" s="6" t="n">
        <f aca="false">Assumptions!B76+Assumptions!B77</f>
        <v>35</v>
      </c>
      <c r="N34" s="6" t="n">
        <f aca="false">Assumptions!B81+Assumptions!B82+Assumptions!B87/12+Assumptions!B84</f>
        <v>92</v>
      </c>
      <c r="O34" s="6" t="n">
        <f aca="false">ROUND(I34*Assumptions!B85+E34*Assumptions!B86+W34*Assumptions!B85+ROUND(B34*Assumptions!B137*Assumptions!B138*Assumptions!B139,0)*Assumptions!B86,0)</f>
        <v>44</v>
      </c>
      <c r="P34" s="18" t="n">
        <f aca="false">K34+L34+M34+N34+O34+X34</f>
        <v>251</v>
      </c>
      <c r="Q34" s="18" t="n">
        <f aca="false">I34-P34</f>
        <v>346</v>
      </c>
      <c r="R34" s="6" t="n">
        <f aca="false">ROUND(B34*Assumptions!B51*Assumptions!B52,0)</f>
        <v>1875</v>
      </c>
      <c r="S34" s="18" t="n">
        <f aca="false">I34+R34+W34</f>
        <v>2681</v>
      </c>
      <c r="T34" s="18" t="n">
        <f aca="false">IF(U34&lt;P34*3,0,IF(U34&lt;P34*6,ROUND((Q34+R34+W34)*0.75*Assumptions!B113,0),ROUND((Q34+R34+W34)*0.75*Assumptions!B114,0)))</f>
        <v>696</v>
      </c>
      <c r="U34" s="18" t="n">
        <f aca="false">U33+Q34+R34+W34</f>
        <v>22450</v>
      </c>
      <c r="V34" s="19" t="str">
        <f aca="false">IF(B34&gt;=Assumptions!B107,"Signal 6",IF(B34&gt;=Assumptions!B106,"Signal 5",IF(B34&gt;=Assumptions!B105,"Signal 4",IF(B34&gt;=Assumptions!B104,"Signal 3",IF(B34&gt;=Assumptions!B103,"Signal 2",IF(B34&gt;=Assumptions!B102,"Signal 1","Pre-Signal 1"))))))</f>
        <v>Pre-Signal 1</v>
      </c>
      <c r="W34" s="6" t="n">
        <f aca="false">ROUND(B34*Assumptions!B137*Assumptions!B138*Assumptions!B139*Assumptions!B136,0)</f>
        <v>209</v>
      </c>
      <c r="X34" s="6" t="n">
        <f aca="false">ROUND(B34*Assumptions!B137*Assumptions!B65,0)</f>
        <v>34</v>
      </c>
    </row>
    <row r="35" customFormat="false" ht="15" hidden="false" customHeight="false" outlineLevel="0" collapsed="false">
      <c r="A35" s="20" t="n">
        <v>30</v>
      </c>
      <c r="B35" s="8" t="n">
        <f aca="false">B34*(1+Assumptions!B33)</f>
        <v>5786.02771121723</v>
      </c>
      <c r="C35" s="8" t="n">
        <f aca="false">ROUND(B35*Assumptions!B25,0)</f>
        <v>116</v>
      </c>
      <c r="D35" s="8" t="n">
        <f aca="false">ROUND(B35*Assumptions!B22,0)</f>
        <v>9</v>
      </c>
      <c r="E35" s="20" t="n">
        <f aca="false">E34+D35-F35</f>
        <v>57</v>
      </c>
      <c r="F35" s="8" t="n">
        <f aca="false">ROUND(E34*Assumptions!B43,0)</f>
        <v>4</v>
      </c>
      <c r="G35" s="20" t="n">
        <f aca="false">D35-F35</f>
        <v>5</v>
      </c>
      <c r="H35" s="20" t="n">
        <f aca="false">ROUND(E35*(Assumptions!B15*0.85+Assumptions!B11*0.15),0)</f>
        <v>654</v>
      </c>
      <c r="I35" s="20" t="n">
        <f aca="false">H35</f>
        <v>654</v>
      </c>
      <c r="J35" s="8" t="n">
        <f aca="false">ROUND(E35*Assumptions!B68,0)</f>
        <v>200</v>
      </c>
      <c r="K35" s="8" t="n">
        <f aca="false">ROUND(J35*Assumptions!B65,0)</f>
        <v>16</v>
      </c>
      <c r="L35" s="8" t="n">
        <f aca="false">Assumptions!B70+IF(E35&gt;Assumptions!B72,45,0)</f>
        <v>31</v>
      </c>
      <c r="M35" s="8" t="n">
        <f aca="false">Assumptions!B76+Assumptions!B77</f>
        <v>35</v>
      </c>
      <c r="N35" s="8" t="n">
        <f aca="false">Assumptions!B81+Assumptions!B82+Assumptions!B87/12+Assumptions!B84</f>
        <v>92</v>
      </c>
      <c r="O35" s="8" t="n">
        <f aca="false">ROUND(I35*Assumptions!B85+E35*Assumptions!B86+W35*Assumptions!B85+ROUND(B35*Assumptions!B137*Assumptions!B138*Assumptions!B139,0)*Assumptions!B86,0)</f>
        <v>48</v>
      </c>
      <c r="P35" s="20" t="n">
        <f aca="false">K35+L35+M35+N35+O35+X35</f>
        <v>259</v>
      </c>
      <c r="Q35" s="20" t="n">
        <f aca="false">I35-P35</f>
        <v>395</v>
      </c>
      <c r="R35" s="8" t="n">
        <f aca="false">ROUND(B35*Assumptions!B51*Assumptions!B52,0)</f>
        <v>2025</v>
      </c>
      <c r="S35" s="20" t="n">
        <f aca="false">I35+R35+W35</f>
        <v>2905</v>
      </c>
      <c r="T35" s="20" t="n">
        <f aca="false">IF(U35&lt;P35*3,0,IF(U35&lt;P35*6,ROUND((Q35+R35+W35)*0.75*Assumptions!B113,0),ROUND((Q35+R35+W35)*0.75*Assumptions!B114,0)))</f>
        <v>758</v>
      </c>
      <c r="U35" s="20" t="n">
        <f aca="false">U34+Q35+R35+W35</f>
        <v>25096</v>
      </c>
      <c r="V35" s="21" t="str">
        <f aca="false">IF(B35&gt;=Assumptions!B107,"Signal 6",IF(B35&gt;=Assumptions!B106,"Signal 5",IF(B35&gt;=Assumptions!B105,"Signal 4",IF(B35&gt;=Assumptions!B104,"Signal 3",IF(B35&gt;=Assumptions!B103,"Signal 2",IF(B35&gt;=Assumptions!B102,"Signal 1","Pre-Signal 1"))))))</f>
        <v>Pre-Signal 1</v>
      </c>
      <c r="W35" s="8" t="n">
        <f aca="false">ROUND(B35*Assumptions!B137*Assumptions!B138*Assumptions!B139*Assumptions!B136,0)</f>
        <v>226</v>
      </c>
      <c r="X35" s="8" t="n">
        <f aca="false">ROUND(B35*Assumptions!B137*Assumptions!B65,0)</f>
        <v>37</v>
      </c>
    </row>
    <row r="36" customFormat="false" ht="15" hidden="false" customHeight="false" outlineLevel="0" collapsed="false">
      <c r="A36" s="18" t="n">
        <v>31</v>
      </c>
      <c r="B36" s="6" t="n">
        <f aca="false">B35*(1+Assumptions!B33)</f>
        <v>6248.90992811461</v>
      </c>
      <c r="C36" s="6" t="n">
        <f aca="false">ROUND(B36*Assumptions!B25,0)</f>
        <v>125</v>
      </c>
      <c r="D36" s="6" t="n">
        <f aca="false">ROUND(B36*Assumptions!B22,0)</f>
        <v>9</v>
      </c>
      <c r="E36" s="18" t="n">
        <f aca="false">E35+D36-F36</f>
        <v>61</v>
      </c>
      <c r="F36" s="6" t="n">
        <f aca="false">ROUND(E35*Assumptions!B43,0)</f>
        <v>5</v>
      </c>
      <c r="G36" s="18" t="n">
        <f aca="false">D36-F36</f>
        <v>4</v>
      </c>
      <c r="H36" s="18" t="n">
        <f aca="false">ROUND(E36*(Assumptions!B15*0.85+Assumptions!B11*0.15),0)</f>
        <v>700</v>
      </c>
      <c r="I36" s="18" t="n">
        <f aca="false">H36</f>
        <v>700</v>
      </c>
      <c r="J36" s="6" t="n">
        <f aca="false">ROUND(E36*Assumptions!B68,0)</f>
        <v>214</v>
      </c>
      <c r="K36" s="6" t="n">
        <f aca="false">ROUND(J36*Assumptions!B65,0)</f>
        <v>17</v>
      </c>
      <c r="L36" s="6" t="n">
        <f aca="false">Assumptions!B70+IF(E36&gt;Assumptions!B72,45,0)</f>
        <v>31</v>
      </c>
      <c r="M36" s="6" t="n">
        <f aca="false">Assumptions!B76+Assumptions!B77</f>
        <v>35</v>
      </c>
      <c r="N36" s="6" t="n">
        <f aca="false">Assumptions!B81+Assumptions!B82+Assumptions!B87/12+Assumptions!B84</f>
        <v>92</v>
      </c>
      <c r="O36" s="6" t="n">
        <f aca="false">ROUND(I36*Assumptions!B85+E36*Assumptions!B86+W36*Assumptions!B85+ROUND(B36*Assumptions!B137*Assumptions!B138*Assumptions!B139,0)*Assumptions!B86,0)</f>
        <v>51</v>
      </c>
      <c r="P36" s="18" t="n">
        <f aca="false">K36+L36+M36+N36+O36+X36</f>
        <v>266</v>
      </c>
      <c r="Q36" s="18" t="n">
        <f aca="false">I36-P36</f>
        <v>434</v>
      </c>
      <c r="R36" s="6" t="n">
        <f aca="false">ROUND(B36*Assumptions!B51*Assumptions!B52,0)</f>
        <v>2187</v>
      </c>
      <c r="S36" s="18" t="n">
        <f aca="false">I36+R36+W36</f>
        <v>3131</v>
      </c>
      <c r="T36" s="18" t="n">
        <f aca="false">IF(U36&lt;P36*3,0,IF(U36&lt;P36*6,ROUND((Q36+R36+W36)*0.75*Assumptions!B113,0),ROUND((Q36+R36+W36)*0.75*Assumptions!B114,0)))</f>
        <v>821</v>
      </c>
      <c r="U36" s="18" t="n">
        <f aca="false">U35+Q36+R36+W36</f>
        <v>27961</v>
      </c>
      <c r="V36" s="19" t="str">
        <f aca="false">IF(B36&gt;=Assumptions!B107,"Signal 6",IF(B36&gt;=Assumptions!B106,"Signal 5",IF(B36&gt;=Assumptions!B105,"Signal 4",IF(B36&gt;=Assumptions!B104,"Signal 3",IF(B36&gt;=Assumptions!B103,"Signal 2",IF(B36&gt;=Assumptions!B102,"Signal 1","Pre-Signal 1"))))))</f>
        <v>Pre-Signal 1</v>
      </c>
      <c r="W36" s="6" t="n">
        <f aca="false">ROUND(B36*Assumptions!B137*Assumptions!B138*Assumptions!B139*Assumptions!B136,0)</f>
        <v>244</v>
      </c>
      <c r="X36" s="6" t="n">
        <f aca="false">ROUND(B36*Assumptions!B137*Assumptions!B65,0)</f>
        <v>40</v>
      </c>
    </row>
    <row r="37" customFormat="false" ht="15" hidden="false" customHeight="false" outlineLevel="0" collapsed="false">
      <c r="A37" s="20" t="n">
        <v>32</v>
      </c>
      <c r="B37" s="8" t="n">
        <f aca="false">B36*(1+Assumptions!B33)</f>
        <v>6748.82272236378</v>
      </c>
      <c r="C37" s="8" t="n">
        <f aca="false">ROUND(B37*Assumptions!B25,0)</f>
        <v>135</v>
      </c>
      <c r="D37" s="8" t="n">
        <f aca="false">ROUND(B37*Assumptions!B22,0)</f>
        <v>10</v>
      </c>
      <c r="E37" s="20" t="n">
        <f aca="false">E36+D37-F37</f>
        <v>66</v>
      </c>
      <c r="F37" s="8" t="n">
        <f aca="false">ROUND(E36*Assumptions!B43,0)</f>
        <v>5</v>
      </c>
      <c r="G37" s="20" t="n">
        <f aca="false">D37-F37</f>
        <v>5</v>
      </c>
      <c r="H37" s="20" t="n">
        <f aca="false">ROUND(E37*(Assumptions!B15*0.85+Assumptions!B11*0.15),0)</f>
        <v>757</v>
      </c>
      <c r="I37" s="20" t="n">
        <f aca="false">H37</f>
        <v>757</v>
      </c>
      <c r="J37" s="8" t="n">
        <f aca="false">ROUND(E37*Assumptions!B68,0)</f>
        <v>231</v>
      </c>
      <c r="K37" s="8" t="n">
        <f aca="false">ROUND(J37*Assumptions!B65,0)</f>
        <v>18</v>
      </c>
      <c r="L37" s="8" t="n">
        <f aca="false">Assumptions!B70+IF(E37&gt;Assumptions!B72,45,0)</f>
        <v>31</v>
      </c>
      <c r="M37" s="8" t="n">
        <f aca="false">Assumptions!B76+Assumptions!B77</f>
        <v>35</v>
      </c>
      <c r="N37" s="8" t="n">
        <f aca="false">Assumptions!B81+Assumptions!B82+Assumptions!B87/12+Assumptions!B84</f>
        <v>92</v>
      </c>
      <c r="O37" s="8" t="n">
        <f aca="false">ROUND(I37*Assumptions!B85+E37*Assumptions!B86+W37*Assumptions!B85+ROUND(B37*Assumptions!B137*Assumptions!B138*Assumptions!B139,0)*Assumptions!B86,0)</f>
        <v>55</v>
      </c>
      <c r="P37" s="20" t="n">
        <f aca="false">K37+L37+M37+N37+O37+X37</f>
        <v>274</v>
      </c>
      <c r="Q37" s="20" t="n">
        <f aca="false">I37-P37</f>
        <v>483</v>
      </c>
      <c r="R37" s="8" t="n">
        <f aca="false">ROUND(B37*Assumptions!B51*Assumptions!B52,0)</f>
        <v>2362</v>
      </c>
      <c r="S37" s="20" t="n">
        <f aca="false">I37+R37+W37</f>
        <v>3382</v>
      </c>
      <c r="T37" s="20" t="n">
        <f aca="false">IF(U37&lt;P37*3,0,IF(U37&lt;P37*6,ROUND((Q37+R37+W37)*0.75*Assumptions!B113,0),ROUND((Q37+R37+W37)*0.75*Assumptions!B114,0)))</f>
        <v>890</v>
      </c>
      <c r="U37" s="20" t="n">
        <f aca="false">U36+Q37+R37+W37</f>
        <v>31069</v>
      </c>
      <c r="V37" s="21" t="str">
        <f aca="false">IF(B37&gt;=Assumptions!B107,"Signal 6",IF(B37&gt;=Assumptions!B106,"Signal 5",IF(B37&gt;=Assumptions!B105,"Signal 4",IF(B37&gt;=Assumptions!B104,"Signal 3",IF(B37&gt;=Assumptions!B103,"Signal 2",IF(B37&gt;=Assumptions!B102,"Signal 1","Pre-Signal 1"))))))</f>
        <v>Pre-Signal 1</v>
      </c>
      <c r="W37" s="8" t="n">
        <f aca="false">ROUND(B37*Assumptions!B137*Assumptions!B138*Assumptions!B139*Assumptions!B136,0)</f>
        <v>263</v>
      </c>
      <c r="X37" s="8" t="n">
        <f aca="false">ROUND(B37*Assumptions!B137*Assumptions!B65,0)</f>
        <v>43</v>
      </c>
    </row>
    <row r="38" customFormat="false" ht="15" hidden="false" customHeight="false" outlineLevel="0" collapsed="false">
      <c r="A38" s="18" t="n">
        <v>33</v>
      </c>
      <c r="B38" s="6" t="n">
        <f aca="false">B37*(1+Assumptions!B33)</f>
        <v>7288.72854015289</v>
      </c>
      <c r="C38" s="6" t="n">
        <f aca="false">ROUND(B38*Assumptions!B25,0)</f>
        <v>146</v>
      </c>
      <c r="D38" s="6" t="n">
        <f aca="false">ROUND(B38*Assumptions!B22,0)</f>
        <v>11</v>
      </c>
      <c r="E38" s="18" t="n">
        <f aca="false">E37+D38-F38</f>
        <v>72</v>
      </c>
      <c r="F38" s="6" t="n">
        <f aca="false">ROUND(E37*Assumptions!B43,0)</f>
        <v>5</v>
      </c>
      <c r="G38" s="18" t="n">
        <f aca="false">D38-F38</f>
        <v>6</v>
      </c>
      <c r="H38" s="18" t="n">
        <f aca="false">ROUND(E38*(Assumptions!B15*0.85+Assumptions!B11*0.15),0)</f>
        <v>826</v>
      </c>
      <c r="I38" s="18" t="n">
        <f aca="false">H38</f>
        <v>826</v>
      </c>
      <c r="J38" s="6" t="n">
        <f aca="false">ROUND(E38*Assumptions!B68,0)</f>
        <v>252</v>
      </c>
      <c r="K38" s="6" t="n">
        <f aca="false">ROUND(J38*Assumptions!B65,0)</f>
        <v>20</v>
      </c>
      <c r="L38" s="6" t="n">
        <f aca="false">Assumptions!B70+IF(E38&gt;Assumptions!B72,45,0)</f>
        <v>31</v>
      </c>
      <c r="M38" s="6" t="n">
        <f aca="false">Assumptions!B76+Assumptions!B77</f>
        <v>35</v>
      </c>
      <c r="N38" s="6" t="n">
        <f aca="false">Assumptions!B81+Assumptions!B82+Assumptions!B87/12+Assumptions!B84</f>
        <v>92</v>
      </c>
      <c r="O38" s="6" t="n">
        <f aca="false">ROUND(I38*Assumptions!B85+E38*Assumptions!B86+W38*Assumptions!B85+ROUND(B38*Assumptions!B137*Assumptions!B138*Assumptions!B139,0)*Assumptions!B86,0)</f>
        <v>60</v>
      </c>
      <c r="P38" s="18" t="n">
        <f aca="false">K38+L38+M38+N38+O38+X38</f>
        <v>285</v>
      </c>
      <c r="Q38" s="18" t="n">
        <f aca="false">I38-P38</f>
        <v>541</v>
      </c>
      <c r="R38" s="6" t="n">
        <f aca="false">ROUND(B38*Assumptions!B51*Assumptions!B52,0)</f>
        <v>2551</v>
      </c>
      <c r="S38" s="18" t="n">
        <f aca="false">I38+R38+W38</f>
        <v>3661</v>
      </c>
      <c r="T38" s="18" t="n">
        <f aca="false">IF(U38&lt;P38*3,0,IF(U38&lt;P38*6,ROUND((Q38+R38+W38)*0.75*Assumptions!B113,0),ROUND((Q38+R38+W38)*0.75*Assumptions!B114,0)))</f>
        <v>967</v>
      </c>
      <c r="U38" s="18" t="n">
        <f aca="false">U37+Q38+R38+W38</f>
        <v>34445</v>
      </c>
      <c r="V38" s="19" t="str">
        <f aca="false">IF(B38&gt;=Assumptions!B107,"Signal 6",IF(B38&gt;=Assumptions!B106,"Signal 5",IF(B38&gt;=Assumptions!B105,"Signal 4",IF(B38&gt;=Assumptions!B104,"Signal 3",IF(B38&gt;=Assumptions!B103,"Signal 2",IF(B38&gt;=Assumptions!B102,"Signal 1","Pre-Signal 1"))))))</f>
        <v>Pre-Signal 1</v>
      </c>
      <c r="W38" s="6" t="n">
        <f aca="false">ROUND(B38*Assumptions!B137*Assumptions!B138*Assumptions!B139*Assumptions!B136,0)</f>
        <v>284</v>
      </c>
      <c r="X38" s="6" t="n">
        <f aca="false">ROUND(B38*Assumptions!B137*Assumptions!B65,0)</f>
        <v>47</v>
      </c>
    </row>
    <row r="39" customFormat="false" ht="15" hidden="false" customHeight="false" outlineLevel="0" collapsed="false">
      <c r="A39" s="20" t="n">
        <v>34</v>
      </c>
      <c r="B39" s="8" t="n">
        <f aca="false">B38*(1+Assumptions!B33)</f>
        <v>7871.82682336512</v>
      </c>
      <c r="C39" s="8" t="n">
        <f aca="false">ROUND(B39*Assumptions!B25,0)</f>
        <v>157</v>
      </c>
      <c r="D39" s="8" t="n">
        <f aca="false">ROUND(B39*Assumptions!B22,0)</f>
        <v>12</v>
      </c>
      <c r="E39" s="20" t="n">
        <f aca="false">E38+D39-F39</f>
        <v>78</v>
      </c>
      <c r="F39" s="8" t="n">
        <f aca="false">ROUND(E38*Assumptions!B43,0)</f>
        <v>6</v>
      </c>
      <c r="G39" s="20" t="n">
        <f aca="false">D39-F39</f>
        <v>6</v>
      </c>
      <c r="H39" s="20" t="n">
        <f aca="false">ROUND(E39*(Assumptions!B15*0.85+Assumptions!B11*0.15),0)</f>
        <v>895</v>
      </c>
      <c r="I39" s="20" t="n">
        <f aca="false">H39</f>
        <v>895</v>
      </c>
      <c r="J39" s="8" t="n">
        <f aca="false">ROUND(E39*Assumptions!B68,0)</f>
        <v>273</v>
      </c>
      <c r="K39" s="8" t="n">
        <f aca="false">ROUND(J39*Assumptions!B65,0)</f>
        <v>22</v>
      </c>
      <c r="L39" s="8" t="n">
        <f aca="false">Assumptions!B70+IF(E39&gt;Assumptions!B72,45,0)</f>
        <v>31</v>
      </c>
      <c r="M39" s="8" t="n">
        <f aca="false">Assumptions!B76+Assumptions!B77</f>
        <v>35</v>
      </c>
      <c r="N39" s="8" t="n">
        <f aca="false">Assumptions!B81+Assumptions!B82+Assumptions!B87/12+Assumptions!B84</f>
        <v>92</v>
      </c>
      <c r="O39" s="8" t="n">
        <f aca="false">ROUND(I39*Assumptions!B85+E39*Assumptions!B86+W39*Assumptions!B85+ROUND(B39*Assumptions!B137*Assumptions!B138*Assumptions!B139,0)*Assumptions!B86,0)</f>
        <v>65</v>
      </c>
      <c r="P39" s="20" t="n">
        <f aca="false">K39+L39+M39+N39+O39+X39</f>
        <v>295</v>
      </c>
      <c r="Q39" s="20" t="n">
        <f aca="false">I39-P39</f>
        <v>600</v>
      </c>
      <c r="R39" s="8" t="n">
        <f aca="false">ROUND(B39*Assumptions!B51*Assumptions!B52,0)</f>
        <v>2755</v>
      </c>
      <c r="S39" s="20" t="n">
        <f aca="false">I39+R39+W39</f>
        <v>3957</v>
      </c>
      <c r="T39" s="20" t="n">
        <f aca="false">IF(U39&lt;P39*3,0,IF(U39&lt;P39*6,ROUND((Q39+R39+W39)*0.75*Assumptions!B113,0),ROUND((Q39+R39+W39)*0.75*Assumptions!B114,0)))</f>
        <v>1049</v>
      </c>
      <c r="U39" s="20" t="n">
        <f aca="false">U38+Q39+R39+W39</f>
        <v>38107</v>
      </c>
      <c r="V39" s="21" t="str">
        <f aca="false">IF(B39&gt;=Assumptions!B107,"Signal 6",IF(B39&gt;=Assumptions!B106,"Signal 5",IF(B39&gt;=Assumptions!B105,"Signal 4",IF(B39&gt;=Assumptions!B104,"Signal 3",IF(B39&gt;=Assumptions!B103,"Signal 2",IF(B39&gt;=Assumptions!B102,"Signal 1","Pre-Signal 1"))))))</f>
        <v>Pre-Signal 1</v>
      </c>
      <c r="W39" s="8" t="n">
        <f aca="false">ROUND(B39*Assumptions!B137*Assumptions!B138*Assumptions!B139*Assumptions!B136,0)</f>
        <v>307</v>
      </c>
      <c r="X39" s="8" t="n">
        <f aca="false">ROUND(B39*Assumptions!B137*Assumptions!B65,0)</f>
        <v>50</v>
      </c>
    </row>
    <row r="40" customFormat="false" ht="15" hidden="false" customHeight="false" outlineLevel="0" collapsed="false">
      <c r="A40" s="18" t="n">
        <v>35</v>
      </c>
      <c r="B40" s="6" t="n">
        <f aca="false">B39*(1+Assumptions!B33)</f>
        <v>8501.57296923433</v>
      </c>
      <c r="C40" s="6" t="n">
        <f aca="false">ROUND(B40*Assumptions!B25,0)</f>
        <v>170</v>
      </c>
      <c r="D40" s="6" t="n">
        <f aca="false">ROUND(B40*Assumptions!B22,0)</f>
        <v>13</v>
      </c>
      <c r="E40" s="18" t="n">
        <f aca="false">E39+D40-F40</f>
        <v>85</v>
      </c>
      <c r="F40" s="6" t="n">
        <f aca="false">ROUND(E39*Assumptions!B43,0)</f>
        <v>6</v>
      </c>
      <c r="G40" s="18" t="n">
        <f aca="false">D40-F40</f>
        <v>7</v>
      </c>
      <c r="H40" s="18" t="n">
        <f aca="false">ROUND(E40*(Assumptions!B15*0.85+Assumptions!B11*0.15),0)</f>
        <v>975</v>
      </c>
      <c r="I40" s="18" t="n">
        <f aca="false">H40</f>
        <v>975</v>
      </c>
      <c r="J40" s="6" t="n">
        <f aca="false">ROUND(E40*Assumptions!B68,0)</f>
        <v>298</v>
      </c>
      <c r="K40" s="6" t="n">
        <f aca="false">ROUND(J40*Assumptions!B65,0)</f>
        <v>24</v>
      </c>
      <c r="L40" s="6" t="n">
        <f aca="false">Assumptions!B70+IF(E40&gt;Assumptions!B72,45,0)</f>
        <v>31</v>
      </c>
      <c r="M40" s="6" t="n">
        <f aca="false">Assumptions!B76+Assumptions!B77</f>
        <v>35</v>
      </c>
      <c r="N40" s="6" t="n">
        <f aca="false">Assumptions!B81+Assumptions!B82+Assumptions!B87/12+Assumptions!B84</f>
        <v>92</v>
      </c>
      <c r="O40" s="6" t="n">
        <f aca="false">ROUND(I40*Assumptions!B85+E40*Assumptions!B86+W40*Assumptions!B85+ROUND(B40*Assumptions!B137*Assumptions!B138*Assumptions!B139,0)*Assumptions!B86,0)</f>
        <v>71</v>
      </c>
      <c r="P40" s="18" t="n">
        <f aca="false">K40+L40+M40+N40+O40+X40</f>
        <v>307</v>
      </c>
      <c r="Q40" s="18" t="n">
        <f aca="false">I40-P40</f>
        <v>668</v>
      </c>
      <c r="R40" s="6" t="n">
        <f aca="false">ROUND(B40*Assumptions!B51*Assumptions!B52,0)</f>
        <v>2976</v>
      </c>
      <c r="S40" s="18" t="n">
        <f aca="false">I40+R40+W40</f>
        <v>4283</v>
      </c>
      <c r="T40" s="18" t="n">
        <f aca="false">IF(U40&lt;P40*3,0,IF(U40&lt;P40*6,ROUND((Q40+R40+W40)*0.75*Assumptions!B113,0),ROUND((Q40+R40+W40)*0.75*Assumptions!B114,0)))</f>
        <v>1139</v>
      </c>
      <c r="U40" s="18" t="n">
        <f aca="false">U39+Q40+R40+W40</f>
        <v>42083</v>
      </c>
      <c r="V40" s="19" t="str">
        <f aca="false">IF(B40&gt;=Assumptions!B107,"Signal 6",IF(B40&gt;=Assumptions!B106,"Signal 5",IF(B40&gt;=Assumptions!B105,"Signal 4",IF(B40&gt;=Assumptions!B104,"Signal 3",IF(B40&gt;=Assumptions!B103,"Signal 2",IF(B40&gt;=Assumptions!B102,"Signal 1","Pre-Signal 1"))))))</f>
        <v>Pre-Signal 1</v>
      </c>
      <c r="W40" s="6" t="n">
        <f aca="false">ROUND(B40*Assumptions!B137*Assumptions!B138*Assumptions!B139*Assumptions!B136,0)</f>
        <v>332</v>
      </c>
      <c r="X40" s="6" t="n">
        <f aca="false">ROUND(B40*Assumptions!B137*Assumptions!B65,0)</f>
        <v>54</v>
      </c>
    </row>
    <row r="41" customFormat="false" ht="15" hidden="false" customHeight="false" outlineLevel="0" collapsed="false">
      <c r="A41" s="20" t="n">
        <v>36</v>
      </c>
      <c r="B41" s="8" t="n">
        <f aca="false">B40*(1+Assumptions!B33)</f>
        <v>9181.69880677307</v>
      </c>
      <c r="C41" s="8" t="n">
        <f aca="false">ROUND(B41*Assumptions!B25,0)</f>
        <v>184</v>
      </c>
      <c r="D41" s="8" t="n">
        <f aca="false">ROUND(B41*Assumptions!B22,0)</f>
        <v>14</v>
      </c>
      <c r="E41" s="20" t="n">
        <f aca="false">E40+D41-F41</f>
        <v>92</v>
      </c>
      <c r="F41" s="8" t="n">
        <f aca="false">ROUND(E40*Assumptions!B43,0)</f>
        <v>7</v>
      </c>
      <c r="G41" s="20" t="n">
        <f aca="false">D41-F41</f>
        <v>7</v>
      </c>
      <c r="H41" s="20" t="n">
        <f aca="false">ROUND(E41*(Assumptions!B15*0.85+Assumptions!B11*0.15),0)</f>
        <v>1056</v>
      </c>
      <c r="I41" s="20" t="n">
        <f aca="false">H41</f>
        <v>1056</v>
      </c>
      <c r="J41" s="8" t="n">
        <f aca="false">ROUND(E41*Assumptions!B68,0)</f>
        <v>322</v>
      </c>
      <c r="K41" s="8" t="n">
        <f aca="false">ROUND(J41*Assumptions!B65,0)</f>
        <v>26</v>
      </c>
      <c r="L41" s="8" t="n">
        <f aca="false">Assumptions!B70+IF(E41&gt;Assumptions!B72,45,0)</f>
        <v>31</v>
      </c>
      <c r="M41" s="8" t="n">
        <f aca="false">Assumptions!B76+Assumptions!B77</f>
        <v>35</v>
      </c>
      <c r="N41" s="8" t="n">
        <f aca="false">Assumptions!B81+Assumptions!B82+Assumptions!B87/12+Assumptions!B84</f>
        <v>92</v>
      </c>
      <c r="O41" s="8" t="n">
        <f aca="false">ROUND(I41*Assumptions!B85+E41*Assumptions!B86+W41*Assumptions!B85+ROUND(B41*Assumptions!B137*Assumptions!B138*Assumptions!B139,0)*Assumptions!B86,0)</f>
        <v>77</v>
      </c>
      <c r="P41" s="20" t="n">
        <f aca="false">K41+L41+M41+N41+O41+X41</f>
        <v>320</v>
      </c>
      <c r="Q41" s="20" t="n">
        <f aca="false">I41-P41</f>
        <v>736</v>
      </c>
      <c r="R41" s="8" t="n">
        <f aca="false">ROUND(B41*Assumptions!B51*Assumptions!B52,0)</f>
        <v>3214</v>
      </c>
      <c r="S41" s="20" t="n">
        <f aca="false">I41+R41+W41</f>
        <v>4628</v>
      </c>
      <c r="T41" s="20" t="n">
        <f aca="false">IF(U41&lt;P41*3,0,IF(U41&lt;P41*6,ROUND((Q41+R41+W41)*0.75*Assumptions!B113,0),ROUND((Q41+R41+W41)*0.75*Assumptions!B114,0)))</f>
        <v>1234</v>
      </c>
      <c r="U41" s="20" t="n">
        <f aca="false">U40+Q41+R41+W41</f>
        <v>46391</v>
      </c>
      <c r="V41" s="21" t="str">
        <f aca="false">IF(B41&gt;=Assumptions!B107,"Signal 6",IF(B41&gt;=Assumptions!B106,"Signal 5",IF(B41&gt;=Assumptions!B105,"Signal 4",IF(B41&gt;=Assumptions!B104,"Signal 3",IF(B41&gt;=Assumptions!B103,"Signal 2",IF(B41&gt;=Assumptions!B102,"Signal 1","Pre-Signal 1"))))))</f>
        <v>Pre-Signal 1</v>
      </c>
      <c r="W41" s="8" t="n">
        <f aca="false">ROUND(B41*Assumptions!B137*Assumptions!B138*Assumptions!B139*Assumptions!B136,0)</f>
        <v>358</v>
      </c>
      <c r="X41" s="8" t="n">
        <f aca="false">ROUND(B41*Assumptions!B137*Assumptions!B65,0)</f>
        <v>59</v>
      </c>
    </row>
    <row r="43" customFormat="false" ht="15" hidden="false" customHeight="false" outlineLevel="0" collapsed="false">
      <c r="A43" s="3" t="s">
        <v>253</v>
      </c>
      <c r="I43" s="3" t="n">
        <f aca="false">SUM(I6:I41)</f>
        <v>12386</v>
      </c>
      <c r="P43" s="3" t="n">
        <f aca="false">SUM(P6:P41)</f>
        <v>9902</v>
      </c>
      <c r="Q43" s="3" t="n">
        <f aca="false">SUM(Q6:Q41)</f>
        <v>2484</v>
      </c>
      <c r="R43" s="3" t="n">
        <f aca="false">SUM(R6:R41)</f>
        <v>39390</v>
      </c>
      <c r="S43" s="3" t="n">
        <f aca="false">SUM(S6:S41)</f>
        <v>56293</v>
      </c>
      <c r="T43" s="3" t="n">
        <f aca="false">SUM(T6:T41)</f>
        <v>13127</v>
      </c>
      <c r="W43" s="3" t="n">
        <f aca="false">SUM(W6:W41)</f>
        <v>4517</v>
      </c>
      <c r="X43" s="3" t="n">
        <f aca="false">SUM(X6:X41)</f>
        <v>741</v>
      </c>
    </row>
    <row r="44" customFormat="false" ht="15" hidden="false" customHeight="false" outlineLevel="0" collapsed="false">
      <c r="A44" s="3" t="s">
        <v>254</v>
      </c>
      <c r="H44" s="22" t="n">
        <f aca="false">AVERAGE(H6:H41)</f>
        <v>344.055555555556</v>
      </c>
      <c r="Q44" s="22" t="n">
        <f aca="false">AVERAGE(Q6:Q41)</f>
        <v>69</v>
      </c>
    </row>
    <row r="45" customFormat="false" ht="15" hidden="false" customHeight="false" outlineLevel="0" collapsed="false">
      <c r="A45" s="3" t="s">
        <v>255</v>
      </c>
      <c r="B45" s="23" t="n">
        <f aca="false">B41</f>
        <v>9181.69880677307</v>
      </c>
      <c r="E45" s="23" t="n">
        <f aca="false">E41</f>
        <v>92</v>
      </c>
      <c r="H45" s="23" t="n">
        <f aca="false">H41</f>
        <v>1056</v>
      </c>
      <c r="S45" s="23" t="n">
        <f aca="false">S41</f>
        <v>4628</v>
      </c>
      <c r="T45" s="23" t="n">
        <f aca="false">T41</f>
        <v>1234</v>
      </c>
      <c r="U45" s="23" t="n">
        <f aca="false">U41</f>
        <v>46391</v>
      </c>
      <c r="V45" s="3" t="str">
        <f aca="false">V41</f>
        <v>Pre-Signal 1</v>
      </c>
    </row>
  </sheetData>
  <conditionalFormatting sqref="A6:X41">
    <cfRule type="expression" priority="2" aboveAverage="0" equalAverage="0" bottom="0" percent="0" rank="0" text="" dxfId="0">
      <formula>AND(B6&gt;=10000,OR(ROW()=6,B5&lt;10000))</formula>
    </cfRule>
    <cfRule type="expression" priority="3" aboveAverage="0" equalAverage="0" bottom="0" percent="0" rank="0" text="" dxfId="0">
      <formula>AND(B6&gt;=25000,OR(ROW()=6,B5&lt;25000))</formula>
    </cfRule>
    <cfRule type="expression" priority="4" aboveAverage="0" equalAverage="0" bottom="0" percent="0" rank="0" text="" dxfId="0">
      <formula>AND(B6&gt;=40000,OR(ROW()=6,B5&lt;40000))</formula>
    </cfRule>
    <cfRule type="expression" priority="5" aboveAverage="0" equalAverage="0" bottom="0" percent="0" rank="0" text="" dxfId="0">
      <formula>AND(B6&gt;=65000,OR(ROW()=6,B5&lt;65000))</formula>
    </cfRule>
    <cfRule type="expression" priority="6" aboveAverage="0" equalAverage="0" bottom="0" percent="0" rank="0" text="" dxfId="0">
      <formula>AND(B6&gt;=110000,OR(ROW()=6,B5&lt;110000))</formula>
    </cfRule>
    <cfRule type="expression" priority="7" aboveAverage="0" equalAverage="0" bottom="0" percent="0" rank="0" text="" dxfId="0">
      <formula>AND(B6&gt;=175000,OR(ROW()=6,B5&lt;175000))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7" min="4" style="0" width="10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4" min="12" style="0" width="12"/>
    <col collapsed="false" customWidth="true" hidden="false" outlineLevel="0" max="15" min="15" style="0" width="10"/>
    <col collapsed="false" customWidth="true" hidden="false" outlineLevel="0" max="20" min="16" style="0" width="1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4" min="23" style="0" width="14"/>
  </cols>
  <sheetData>
    <row r="1" customFormat="false" ht="15" hidden="false" customHeight="false" outlineLevel="0" collapsed="false">
      <c r="A1" s="15" t="s">
        <v>256</v>
      </c>
    </row>
    <row r="2" customFormat="false" ht="15" hidden="false" customHeight="false" outlineLevel="0" collapsed="false">
      <c r="A2" s="2" t="s">
        <v>257</v>
      </c>
    </row>
    <row r="3" customFormat="false" ht="15" hidden="false" customHeight="false" outlineLevel="0" collapsed="false">
      <c r="A3" s="16" t="s">
        <v>228</v>
      </c>
    </row>
    <row r="5" customFormat="false" ht="30" hidden="false" customHeight="true" outlineLevel="0" collapsed="false">
      <c r="A5" s="17" t="s">
        <v>229</v>
      </c>
      <c r="B5" s="17" t="s">
        <v>230</v>
      </c>
      <c r="C5" s="17" t="s">
        <v>231</v>
      </c>
      <c r="D5" s="17" t="s">
        <v>232</v>
      </c>
      <c r="E5" s="17" t="s">
        <v>233</v>
      </c>
      <c r="F5" s="17" t="s">
        <v>234</v>
      </c>
      <c r="G5" s="17" t="s">
        <v>235</v>
      </c>
      <c r="H5" s="17" t="s">
        <v>236</v>
      </c>
      <c r="I5" s="17" t="s">
        <v>237</v>
      </c>
      <c r="J5" s="17" t="s">
        <v>238</v>
      </c>
      <c r="K5" s="17" t="s">
        <v>239</v>
      </c>
      <c r="L5" s="17" t="s">
        <v>240</v>
      </c>
      <c r="M5" s="17" t="s">
        <v>241</v>
      </c>
      <c r="N5" s="17" t="s">
        <v>242</v>
      </c>
      <c r="O5" s="17" t="s">
        <v>243</v>
      </c>
      <c r="P5" s="17" t="s">
        <v>244</v>
      </c>
      <c r="Q5" s="17" t="s">
        <v>245</v>
      </c>
      <c r="R5" s="17" t="s">
        <v>246</v>
      </c>
      <c r="S5" s="17" t="s">
        <v>247</v>
      </c>
      <c r="T5" s="17" t="s">
        <v>248</v>
      </c>
      <c r="U5" s="17" t="s">
        <v>249</v>
      </c>
      <c r="V5" s="17" t="s">
        <v>250</v>
      </c>
      <c r="W5" s="17" t="s">
        <v>251</v>
      </c>
      <c r="X5" s="17" t="s">
        <v>252</v>
      </c>
    </row>
    <row r="6" customFormat="false" ht="15" hidden="false" customHeight="false" outlineLevel="0" collapsed="false">
      <c r="A6" s="18" t="n">
        <v>1</v>
      </c>
      <c r="B6" s="6" t="n">
        <f aca="false">Assumptions!B31</f>
        <v>800</v>
      </c>
      <c r="C6" s="6" t="n">
        <f aca="false">ROUND(B6*Assumptions!B25,0)</f>
        <v>16</v>
      </c>
      <c r="D6" s="6" t="n">
        <f aca="false">ROUND(B6*Assumptions!B23,0)</f>
        <v>2</v>
      </c>
      <c r="E6" s="18" t="n">
        <f aca="false">D6</f>
        <v>2</v>
      </c>
      <c r="F6" s="18" t="n">
        <f aca="false">0</f>
        <v>0</v>
      </c>
      <c r="G6" s="18" t="n">
        <f aca="false">D6-F6</f>
        <v>2</v>
      </c>
      <c r="H6" s="18" t="n">
        <f aca="false">ROUND(E6*Assumptions!B14,0)</f>
        <v>16</v>
      </c>
      <c r="I6" s="18" t="n">
        <f aca="false">H6</f>
        <v>16</v>
      </c>
      <c r="J6" s="6" t="n">
        <f aca="false">ROUND(E6*Assumptions!B68,0)</f>
        <v>7</v>
      </c>
      <c r="K6" s="6" t="n">
        <f aca="false">ROUND(J6*Assumptions!B65,0)</f>
        <v>1</v>
      </c>
      <c r="L6" s="6" t="n">
        <f aca="false">Assumptions!B70+IF(E6&gt;Assumptions!B72,45,0)</f>
        <v>31</v>
      </c>
      <c r="M6" s="6" t="n">
        <f aca="false">Assumptions!B94+Assumptions!B95+Assumptions!B76+Assumptions!B77</f>
        <v>2785</v>
      </c>
      <c r="N6" s="6" t="n">
        <f aca="false">Assumptions!B81+Assumptions!B82+Assumptions!B87/12</f>
        <v>50</v>
      </c>
      <c r="O6" s="6" t="n">
        <f aca="false">ROUND(I6*Assumptions!B85+E6*Assumptions!B86+W6*Assumptions!B85+ROUND(B6*Assumptions!B137*Assumptions!B138*Assumptions!B139,0)*Assumptions!B86,0)</f>
        <v>3</v>
      </c>
      <c r="P6" s="18" t="n">
        <f aca="false">K6+L6+M6+N6+O6+X6</f>
        <v>2875</v>
      </c>
      <c r="Q6" s="18" t="n">
        <f aca="false">I6-P6</f>
        <v>-2859</v>
      </c>
      <c r="R6" s="18" t="n">
        <f aca="false">0</f>
        <v>0</v>
      </c>
      <c r="S6" s="18" t="n">
        <f aca="false">I6+R6+W6</f>
        <v>47</v>
      </c>
      <c r="T6" s="18" t="n">
        <f aca="false">IF(U6&lt;P6*3,0,IF(U6&lt;P6*6,ROUND((Q6+R6+W6)*0.75*Assumptions!B113,0),ROUND((Q6+R6+W6)*0.75*Assumptions!B114,0)))</f>
        <v>0</v>
      </c>
      <c r="U6" s="18" t="n">
        <f aca="false">Q6+R6+W6</f>
        <v>-2828</v>
      </c>
      <c r="V6" s="19" t="str">
        <f aca="false">IF(B6&gt;=Assumptions!B107,"Signal 6",IF(B6&gt;=Assumptions!B106,"Signal 5",IF(B6&gt;=Assumptions!B105,"Signal 4",IF(B6&gt;=Assumptions!B104,"Signal 3",IF(B6&gt;=Assumptions!B103,"Signal 2",IF(B6&gt;=Assumptions!B102,"Signal 1","Pre-Signal 1"))))))</f>
        <v>Pre-Signal 1</v>
      </c>
      <c r="W6" s="6" t="n">
        <f aca="false">ROUND(B6*Assumptions!B137*Assumptions!B138*Assumptions!B139*Assumptions!B136,0)</f>
        <v>31</v>
      </c>
      <c r="X6" s="6" t="n">
        <f aca="false">ROUND(B6*Assumptions!B137*Assumptions!B65,0)</f>
        <v>5</v>
      </c>
    </row>
    <row r="7" customFormat="false" ht="15" hidden="false" customHeight="false" outlineLevel="0" collapsed="false">
      <c r="A7" s="20" t="n">
        <v>2</v>
      </c>
      <c r="B7" s="8" t="n">
        <f aca="false">B6*(1+Assumptions!B34)</f>
        <v>896</v>
      </c>
      <c r="C7" s="8" t="n">
        <f aca="false">ROUND(B7*Assumptions!B25,0)</f>
        <v>18</v>
      </c>
      <c r="D7" s="8" t="n">
        <f aca="false">ROUND(B7*Assumptions!B23,0)</f>
        <v>2</v>
      </c>
      <c r="E7" s="20" t="n">
        <f aca="false">E6+D7-F7</f>
        <v>4</v>
      </c>
      <c r="F7" s="8" t="n">
        <f aca="false">ROUND(E6*Assumptions!B44,0)</f>
        <v>0</v>
      </c>
      <c r="G7" s="20" t="n">
        <f aca="false">D7-F7</f>
        <v>2</v>
      </c>
      <c r="H7" s="20" t="n">
        <f aca="false">ROUND(E7*Assumptions!B14,0)</f>
        <v>32</v>
      </c>
      <c r="I7" s="20" t="n">
        <f aca="false">H7</f>
        <v>32</v>
      </c>
      <c r="J7" s="8" t="n">
        <f aca="false">ROUND(E7*Assumptions!B68,0)</f>
        <v>14</v>
      </c>
      <c r="K7" s="8" t="n">
        <f aca="false">ROUND(J7*Assumptions!B65,0)</f>
        <v>1</v>
      </c>
      <c r="L7" s="8" t="n">
        <f aca="false">Assumptions!B70+IF(E7&gt;Assumptions!B72,45,0)</f>
        <v>31</v>
      </c>
      <c r="M7" s="8" t="n">
        <f aca="false">Assumptions!B76+Assumptions!B77</f>
        <v>35</v>
      </c>
      <c r="N7" s="8" t="n">
        <f aca="false">Assumptions!B81+Assumptions!B82+Assumptions!B87/12</f>
        <v>50</v>
      </c>
      <c r="O7" s="8" t="n">
        <f aca="false">ROUND(I7*Assumptions!B85+E7*Assumptions!B86+W7*Assumptions!B85+ROUND(B7*Assumptions!B137*Assumptions!B138*Assumptions!B139,0)*Assumptions!B86,0)</f>
        <v>4</v>
      </c>
      <c r="P7" s="20" t="n">
        <f aca="false">K7+L7+M7+N7+O7+X7</f>
        <v>127</v>
      </c>
      <c r="Q7" s="20" t="n">
        <f aca="false">I7-P7</f>
        <v>-95</v>
      </c>
      <c r="R7" s="20" t="n">
        <f aca="false">0</f>
        <v>0</v>
      </c>
      <c r="S7" s="20" t="n">
        <f aca="false">I7+R7+W7</f>
        <v>67</v>
      </c>
      <c r="T7" s="20" t="n">
        <f aca="false">IF(U7&lt;P7*3,0,IF(U7&lt;P7*6,ROUND((Q7+R7+W7)*0.75*Assumptions!B113,0),ROUND((Q7+R7+W7)*0.75*Assumptions!B114,0)))</f>
        <v>0</v>
      </c>
      <c r="U7" s="20" t="n">
        <f aca="false">U6+Q7+R7+W7</f>
        <v>-2888</v>
      </c>
      <c r="V7" s="21" t="str">
        <f aca="false">IF(B7&gt;=Assumptions!B107,"Signal 6",IF(B7&gt;=Assumptions!B106,"Signal 5",IF(B7&gt;=Assumptions!B105,"Signal 4",IF(B7&gt;=Assumptions!B104,"Signal 3",IF(B7&gt;=Assumptions!B103,"Signal 2",IF(B7&gt;=Assumptions!B102,"Signal 1","Pre-Signal 1"))))))</f>
        <v>Pre-Signal 1</v>
      </c>
      <c r="W7" s="8" t="n">
        <f aca="false">ROUND(B7*Assumptions!B137*Assumptions!B138*Assumptions!B139*Assumptions!B136,0)</f>
        <v>35</v>
      </c>
      <c r="X7" s="8" t="n">
        <f aca="false">ROUND(B7*Assumptions!B137*Assumptions!B65,0)</f>
        <v>6</v>
      </c>
    </row>
    <row r="8" customFormat="false" ht="15" hidden="false" customHeight="false" outlineLevel="0" collapsed="false">
      <c r="A8" s="18" t="n">
        <v>3</v>
      </c>
      <c r="B8" s="6" t="n">
        <f aca="false">B7*(1+Assumptions!B34)*Assumptions!B36</f>
        <v>1154.048</v>
      </c>
      <c r="C8" s="6" t="n">
        <f aca="false">ROUND(B8*Assumptions!B25,0)</f>
        <v>23</v>
      </c>
      <c r="D8" s="6" t="n">
        <f aca="false">ROUND(B8*Assumptions!B23,0)</f>
        <v>3</v>
      </c>
      <c r="E8" s="18" t="n">
        <f aca="false">E7+D8-F8</f>
        <v>7</v>
      </c>
      <c r="F8" s="6" t="n">
        <f aca="false">ROUND(E7*Assumptions!B44,0)</f>
        <v>0</v>
      </c>
      <c r="G8" s="18" t="n">
        <f aca="false">D8-F8</f>
        <v>3</v>
      </c>
      <c r="H8" s="18" t="n">
        <f aca="false">ROUND(E8*Assumptions!B14,0)</f>
        <v>56</v>
      </c>
      <c r="I8" s="18" t="n">
        <f aca="false">H8</f>
        <v>56</v>
      </c>
      <c r="J8" s="6" t="n">
        <f aca="false">ROUND(E8*Assumptions!B68,0)</f>
        <v>25</v>
      </c>
      <c r="K8" s="6" t="n">
        <f aca="false">ROUND(J8*Assumptions!B65,0)</f>
        <v>2</v>
      </c>
      <c r="L8" s="6" t="n">
        <f aca="false">Assumptions!B70+IF(E8&gt;Assumptions!B72,45,0)</f>
        <v>31</v>
      </c>
      <c r="M8" s="6" t="n">
        <f aca="false">Assumptions!B76+Assumptions!B77</f>
        <v>35</v>
      </c>
      <c r="N8" s="6" t="n">
        <f aca="false">Assumptions!B81+Assumptions!B82+Assumptions!B87/12</f>
        <v>50</v>
      </c>
      <c r="O8" s="6" t="n">
        <f aca="false">ROUND(I8*Assumptions!B85+E8*Assumptions!B86+W8*Assumptions!B85+ROUND(B8*Assumptions!B137*Assumptions!B138*Assumptions!B139,0)*Assumptions!B86,0)</f>
        <v>6</v>
      </c>
      <c r="P8" s="18" t="n">
        <f aca="false">K8+L8+M8+N8+O8+X8</f>
        <v>131</v>
      </c>
      <c r="Q8" s="18" t="n">
        <f aca="false">I8-P8</f>
        <v>-75</v>
      </c>
      <c r="R8" s="18" t="n">
        <f aca="false">0</f>
        <v>0</v>
      </c>
      <c r="S8" s="18" t="n">
        <f aca="false">I8+R8+W8</f>
        <v>101</v>
      </c>
      <c r="T8" s="18" t="n">
        <f aca="false">IF(U8&lt;P8*3,0,IF(U8&lt;P8*6,ROUND((Q8+R8+W8)*0.75*Assumptions!B113,0),ROUND((Q8+R8+W8)*0.75*Assumptions!B114,0)))</f>
        <v>0</v>
      </c>
      <c r="U8" s="18" t="n">
        <f aca="false">U7+Q8+R8+W8</f>
        <v>-2918</v>
      </c>
      <c r="V8" s="19" t="str">
        <f aca="false">IF(B8&gt;=Assumptions!B107,"Signal 6",IF(B8&gt;=Assumptions!B106,"Signal 5",IF(B8&gt;=Assumptions!B105,"Signal 4",IF(B8&gt;=Assumptions!B104,"Signal 3",IF(B8&gt;=Assumptions!B103,"Signal 2",IF(B8&gt;=Assumptions!B102,"Signal 1","Pre-Signal 1"))))))</f>
        <v>Pre-Signal 1</v>
      </c>
      <c r="W8" s="6" t="n">
        <f aca="false">ROUND(B8*Assumptions!B137*Assumptions!B138*Assumptions!B139*Assumptions!B136,0)</f>
        <v>45</v>
      </c>
      <c r="X8" s="6" t="n">
        <f aca="false">ROUND(B8*Assumptions!B137*Assumptions!B65,0)</f>
        <v>7</v>
      </c>
    </row>
    <row r="9" customFormat="false" ht="15" hidden="false" customHeight="false" outlineLevel="0" collapsed="false">
      <c r="A9" s="20" t="n">
        <v>4</v>
      </c>
      <c r="B9" s="8" t="n">
        <f aca="false">B8*(1+Assumptions!B34)</f>
        <v>1292.53376</v>
      </c>
      <c r="C9" s="8" t="n">
        <f aca="false">ROUND(B9*Assumptions!B25,0)</f>
        <v>26</v>
      </c>
      <c r="D9" s="8" t="n">
        <f aca="false">ROUND(B9*Assumptions!B23,0)</f>
        <v>3</v>
      </c>
      <c r="E9" s="20" t="n">
        <f aca="false">E8+D9-F9</f>
        <v>10</v>
      </c>
      <c r="F9" s="8" t="n">
        <f aca="false">ROUND(E8*Assumptions!B44,0)</f>
        <v>0</v>
      </c>
      <c r="G9" s="20" t="n">
        <f aca="false">D9-F9</f>
        <v>3</v>
      </c>
      <c r="H9" s="20" t="n">
        <f aca="false">ROUND(E9*Assumptions!B14,0)</f>
        <v>80</v>
      </c>
      <c r="I9" s="20" t="n">
        <f aca="false">H9</f>
        <v>80</v>
      </c>
      <c r="J9" s="8" t="n">
        <f aca="false">ROUND(E9*Assumptions!B68,0)</f>
        <v>35</v>
      </c>
      <c r="K9" s="8" t="n">
        <f aca="false">ROUND(J9*Assumptions!B65,0)</f>
        <v>3</v>
      </c>
      <c r="L9" s="8" t="n">
        <f aca="false">Assumptions!B70+IF(E9&gt;Assumptions!B72,45,0)</f>
        <v>31</v>
      </c>
      <c r="M9" s="8" t="n">
        <f aca="false">Assumptions!B76+Assumptions!B77</f>
        <v>35</v>
      </c>
      <c r="N9" s="8" t="n">
        <f aca="false">Assumptions!B81+Assumptions!B82+Assumptions!B87/12</f>
        <v>50</v>
      </c>
      <c r="O9" s="8" t="n">
        <f aca="false">ROUND(I9*Assumptions!B85+E9*Assumptions!B86+W9*Assumptions!B85+ROUND(B9*Assumptions!B137*Assumptions!B138*Assumptions!B139,0)*Assumptions!B86,0)</f>
        <v>8</v>
      </c>
      <c r="P9" s="20" t="n">
        <f aca="false">K9+L9+M9+N9+O9+X9</f>
        <v>135</v>
      </c>
      <c r="Q9" s="20" t="n">
        <f aca="false">I9-P9</f>
        <v>-55</v>
      </c>
      <c r="R9" s="20" t="n">
        <f aca="false">0</f>
        <v>0</v>
      </c>
      <c r="S9" s="20" t="n">
        <f aca="false">I9+R9+W9</f>
        <v>130</v>
      </c>
      <c r="T9" s="20" t="n">
        <f aca="false">IF(U9&lt;P9*3,0,IF(U9&lt;P9*6,ROUND((Q9+R9+W9)*0.75*Assumptions!B113,0),ROUND((Q9+R9+W9)*0.75*Assumptions!B114,0)))</f>
        <v>0</v>
      </c>
      <c r="U9" s="20" t="n">
        <f aca="false">U8+Q9+R9+W9</f>
        <v>-2923</v>
      </c>
      <c r="V9" s="21" t="str">
        <f aca="false">IF(B9&gt;=Assumptions!B107,"Signal 6",IF(B9&gt;=Assumptions!B106,"Signal 5",IF(B9&gt;=Assumptions!B105,"Signal 4",IF(B9&gt;=Assumptions!B104,"Signal 3",IF(B9&gt;=Assumptions!B103,"Signal 2",IF(B9&gt;=Assumptions!B102,"Signal 1","Pre-Signal 1"))))))</f>
        <v>Pre-Signal 1</v>
      </c>
      <c r="W9" s="8" t="n">
        <f aca="false">ROUND(B9*Assumptions!B137*Assumptions!B138*Assumptions!B139*Assumptions!B136,0)</f>
        <v>50</v>
      </c>
      <c r="X9" s="8" t="n">
        <f aca="false">ROUND(B9*Assumptions!B137*Assumptions!B65,0)</f>
        <v>8</v>
      </c>
    </row>
    <row r="10" customFormat="false" ht="15" hidden="false" customHeight="false" outlineLevel="0" collapsed="false">
      <c r="A10" s="18" t="n">
        <v>5</v>
      </c>
      <c r="B10" s="6" t="n">
        <f aca="false">B9*(1+Assumptions!B34)</f>
        <v>1447.6378112</v>
      </c>
      <c r="C10" s="6" t="n">
        <f aca="false">ROUND(B10*Assumptions!B25,0)</f>
        <v>29</v>
      </c>
      <c r="D10" s="6" t="n">
        <f aca="false">ROUND(B10*Assumptions!B23,0)</f>
        <v>4</v>
      </c>
      <c r="E10" s="18" t="n">
        <f aca="false">E9+D10-F10</f>
        <v>13</v>
      </c>
      <c r="F10" s="6" t="n">
        <f aca="false">ROUND(E9*Assumptions!B44,0)</f>
        <v>1</v>
      </c>
      <c r="G10" s="18" t="n">
        <f aca="false">D10-F10</f>
        <v>3</v>
      </c>
      <c r="H10" s="18" t="n">
        <f aca="false">ROUND(E10*Assumptions!B14,0)</f>
        <v>104</v>
      </c>
      <c r="I10" s="18" t="n">
        <f aca="false">H10</f>
        <v>104</v>
      </c>
      <c r="J10" s="6" t="n">
        <f aca="false">ROUND(E10*Assumptions!B68,0)</f>
        <v>46</v>
      </c>
      <c r="K10" s="6" t="n">
        <f aca="false">ROUND(J10*Assumptions!B65,0)</f>
        <v>4</v>
      </c>
      <c r="L10" s="6" t="n">
        <f aca="false">Assumptions!B70+IF(E10&gt;Assumptions!B72,45,0)</f>
        <v>31</v>
      </c>
      <c r="M10" s="6" t="n">
        <f aca="false">Assumptions!B76+Assumptions!B77</f>
        <v>35</v>
      </c>
      <c r="N10" s="6" t="n">
        <f aca="false">Assumptions!B81+Assumptions!B82+Assumptions!B87/12</f>
        <v>50</v>
      </c>
      <c r="O10" s="6" t="n">
        <f aca="false">ROUND(I10*Assumptions!B85+E10*Assumptions!B86+W10*Assumptions!B85+ROUND(B10*Assumptions!B137*Assumptions!B138*Assumptions!B139,0)*Assumptions!B86,0)</f>
        <v>10</v>
      </c>
      <c r="P10" s="18" t="n">
        <f aca="false">K10+L10+M10+N10+O10+X10</f>
        <v>139</v>
      </c>
      <c r="Q10" s="18" t="n">
        <f aca="false">I10-P10</f>
        <v>-35</v>
      </c>
      <c r="R10" s="18" t="n">
        <f aca="false">0</f>
        <v>0</v>
      </c>
      <c r="S10" s="18" t="n">
        <f aca="false">I10+R10+W10</f>
        <v>160</v>
      </c>
      <c r="T10" s="18" t="n">
        <f aca="false">IF(U10&lt;P10*3,0,IF(U10&lt;P10*6,ROUND((Q10+R10+W10)*0.75*Assumptions!B113,0),ROUND((Q10+R10+W10)*0.75*Assumptions!B114,0)))</f>
        <v>0</v>
      </c>
      <c r="U10" s="18" t="n">
        <f aca="false">U9+Q10+R10+W10</f>
        <v>-2902</v>
      </c>
      <c r="V10" s="19" t="str">
        <f aca="false">IF(B10&gt;=Assumptions!B107,"Signal 6",IF(B10&gt;=Assumptions!B106,"Signal 5",IF(B10&gt;=Assumptions!B105,"Signal 4",IF(B10&gt;=Assumptions!B104,"Signal 3",IF(B10&gt;=Assumptions!B103,"Signal 2",IF(B10&gt;=Assumptions!B102,"Signal 1","Pre-Signal 1"))))))</f>
        <v>Pre-Signal 1</v>
      </c>
      <c r="W10" s="6" t="n">
        <f aca="false">ROUND(B10*Assumptions!B137*Assumptions!B138*Assumptions!B139*Assumptions!B136,0)</f>
        <v>56</v>
      </c>
      <c r="X10" s="6" t="n">
        <f aca="false">ROUND(B10*Assumptions!B137*Assumptions!B65,0)</f>
        <v>9</v>
      </c>
    </row>
    <row r="11" customFormat="false" ht="15" hidden="false" customHeight="false" outlineLevel="0" collapsed="false">
      <c r="A11" s="20" t="n">
        <v>6</v>
      </c>
      <c r="B11" s="8" t="n">
        <f aca="false">B10*(1+Assumptions!B34)*Assumptions!B37</f>
        <v>1751.06269642752</v>
      </c>
      <c r="C11" s="8" t="n">
        <f aca="false">ROUND(B11*Assumptions!B25,0)</f>
        <v>35</v>
      </c>
      <c r="D11" s="8" t="n">
        <f aca="false">ROUND(B11*Assumptions!B23,0)</f>
        <v>4</v>
      </c>
      <c r="E11" s="20" t="n">
        <f aca="false">E10+D11-F11</f>
        <v>16</v>
      </c>
      <c r="F11" s="8" t="n">
        <f aca="false">ROUND(E10*Assumptions!B44,0)</f>
        <v>1</v>
      </c>
      <c r="G11" s="20" t="n">
        <f aca="false">D11-F11</f>
        <v>3</v>
      </c>
      <c r="H11" s="20" t="n">
        <f aca="false">ROUND(E11*Assumptions!B14,0)</f>
        <v>128</v>
      </c>
      <c r="I11" s="20" t="n">
        <f aca="false">H11</f>
        <v>128</v>
      </c>
      <c r="J11" s="8" t="n">
        <f aca="false">ROUND(E11*Assumptions!B68,0)</f>
        <v>56</v>
      </c>
      <c r="K11" s="8" t="n">
        <f aca="false">ROUND(J11*Assumptions!B65,0)</f>
        <v>4</v>
      </c>
      <c r="L11" s="8" t="n">
        <f aca="false">Assumptions!B70+IF(E11&gt;Assumptions!B72,45,0)</f>
        <v>31</v>
      </c>
      <c r="M11" s="8" t="n">
        <f aca="false">Assumptions!B76+Assumptions!B77</f>
        <v>35</v>
      </c>
      <c r="N11" s="8" t="n">
        <f aca="false">Assumptions!B81+Assumptions!B82+Assumptions!B87/12</f>
        <v>50</v>
      </c>
      <c r="O11" s="8" t="n">
        <f aca="false">ROUND(I11*Assumptions!B85+E11*Assumptions!B86+W11*Assumptions!B85+ROUND(B11*Assumptions!B137*Assumptions!B138*Assumptions!B139,0)*Assumptions!B86,0)</f>
        <v>12</v>
      </c>
      <c r="P11" s="20" t="n">
        <f aca="false">K11+L11+M11+N11+O11+X11</f>
        <v>143</v>
      </c>
      <c r="Q11" s="20" t="n">
        <f aca="false">I11-P11</f>
        <v>-15</v>
      </c>
      <c r="R11" s="8" t="n">
        <f aca="false">ROUND(B11*Assumptions!B51*Assumptions!B52,0)</f>
        <v>613</v>
      </c>
      <c r="S11" s="20" t="n">
        <f aca="false">I11+R11+W11</f>
        <v>809</v>
      </c>
      <c r="T11" s="20" t="n">
        <f aca="false">IF(U11&lt;P11*3,0,IF(U11&lt;P11*6,ROUND((Q11+R11+W11)*0.75*Assumptions!B113,0),ROUND((Q11+R11+W11)*0.75*Assumptions!B114,0)))</f>
        <v>0</v>
      </c>
      <c r="U11" s="20" t="n">
        <f aca="false">U10+Q11+R11+W11</f>
        <v>-2236</v>
      </c>
      <c r="V11" s="21" t="str">
        <f aca="false">IF(B11&gt;=Assumptions!B107,"Signal 6",IF(B11&gt;=Assumptions!B106,"Signal 5",IF(B11&gt;=Assumptions!B105,"Signal 4",IF(B11&gt;=Assumptions!B104,"Signal 3",IF(B11&gt;=Assumptions!B103,"Signal 2",IF(B11&gt;=Assumptions!B102,"Signal 1","Pre-Signal 1"))))))</f>
        <v>Pre-Signal 1</v>
      </c>
      <c r="W11" s="8" t="n">
        <f aca="false">ROUND(B11*Assumptions!B137*Assumptions!B138*Assumptions!B139*Assumptions!B136,0)</f>
        <v>68</v>
      </c>
      <c r="X11" s="8" t="n">
        <f aca="false">ROUND(B11*Assumptions!B137*Assumptions!B65,0)</f>
        <v>11</v>
      </c>
    </row>
    <row r="12" customFormat="false" ht="15" hidden="false" customHeight="false" outlineLevel="0" collapsed="false">
      <c r="A12" s="18" t="n">
        <v>7</v>
      </c>
      <c r="B12" s="6" t="n">
        <f aca="false">B11*(1+Assumptions!B34)</f>
        <v>1961.19021999882</v>
      </c>
      <c r="C12" s="6" t="n">
        <f aca="false">ROUND(B12*Assumptions!B25,0)</f>
        <v>39</v>
      </c>
      <c r="D12" s="6" t="n">
        <f aca="false">ROUND(B12*Assumptions!B23,0)</f>
        <v>5</v>
      </c>
      <c r="E12" s="18" t="n">
        <f aca="false">E11+D12-F12</f>
        <v>20</v>
      </c>
      <c r="F12" s="6" t="n">
        <f aca="false">ROUND(E11*Assumptions!B44,0)</f>
        <v>1</v>
      </c>
      <c r="G12" s="18" t="n">
        <f aca="false">D12-F12</f>
        <v>4</v>
      </c>
      <c r="H12" s="18" t="n">
        <f aca="false">ROUND(E12*Assumptions!B14,0)</f>
        <v>160</v>
      </c>
      <c r="I12" s="18" t="n">
        <f aca="false">H12</f>
        <v>160</v>
      </c>
      <c r="J12" s="6" t="n">
        <f aca="false">ROUND(E12*Assumptions!B68,0)</f>
        <v>70</v>
      </c>
      <c r="K12" s="6" t="n">
        <f aca="false">ROUND(J12*Assumptions!B65,0)</f>
        <v>6</v>
      </c>
      <c r="L12" s="6" t="n">
        <f aca="false">Assumptions!B70+IF(E12&gt;Assumptions!B72,45,0)</f>
        <v>31</v>
      </c>
      <c r="M12" s="6" t="n">
        <f aca="false">Assumptions!B76+Assumptions!B77</f>
        <v>35</v>
      </c>
      <c r="N12" s="6" t="n">
        <f aca="false">Assumptions!B81+Assumptions!B82+Assumptions!B87/12</f>
        <v>50</v>
      </c>
      <c r="O12" s="6" t="n">
        <f aca="false">ROUND(I12*Assumptions!B85+E12*Assumptions!B86+W12*Assumptions!B85+ROUND(B12*Assumptions!B137*Assumptions!B138*Assumptions!B139,0)*Assumptions!B86,0)</f>
        <v>15</v>
      </c>
      <c r="P12" s="18" t="n">
        <f aca="false">K12+L12+M12+N12+O12+X12</f>
        <v>150</v>
      </c>
      <c r="Q12" s="18" t="n">
        <f aca="false">I12-P12</f>
        <v>10</v>
      </c>
      <c r="R12" s="6" t="n">
        <f aca="false">ROUND(B12*Assumptions!B51*Assumptions!B52,0)</f>
        <v>686</v>
      </c>
      <c r="S12" s="18" t="n">
        <f aca="false">I12+R12+W12</f>
        <v>922</v>
      </c>
      <c r="T12" s="18" t="n">
        <f aca="false">IF(U12&lt;P12*3,0,IF(U12&lt;P12*6,ROUND((Q12+R12+W12)*0.75*Assumptions!B113,0),ROUND((Q12+R12+W12)*0.75*Assumptions!B114,0)))</f>
        <v>0</v>
      </c>
      <c r="U12" s="18" t="n">
        <f aca="false">U11+Q12+R12+W12</f>
        <v>-1464</v>
      </c>
      <c r="V12" s="19" t="str">
        <f aca="false">IF(B12&gt;=Assumptions!B107,"Signal 6",IF(B12&gt;=Assumptions!B106,"Signal 5",IF(B12&gt;=Assumptions!B105,"Signal 4",IF(B12&gt;=Assumptions!B104,"Signal 3",IF(B12&gt;=Assumptions!B103,"Signal 2",IF(B12&gt;=Assumptions!B102,"Signal 1","Pre-Signal 1"))))))</f>
        <v>Pre-Signal 1</v>
      </c>
      <c r="W12" s="6" t="n">
        <f aca="false">ROUND(B12*Assumptions!B137*Assumptions!B138*Assumptions!B139*Assumptions!B136,0)</f>
        <v>76</v>
      </c>
      <c r="X12" s="6" t="n">
        <f aca="false">ROUND(B12*Assumptions!B137*Assumptions!B65,0)</f>
        <v>13</v>
      </c>
    </row>
    <row r="13" customFormat="false" ht="15" hidden="false" customHeight="false" outlineLevel="0" collapsed="false">
      <c r="A13" s="20" t="n">
        <v>8</v>
      </c>
      <c r="B13" s="8" t="n">
        <f aca="false">B12*(1+Assumptions!B34)</f>
        <v>2196.53304639868</v>
      </c>
      <c r="C13" s="8" t="n">
        <f aca="false">ROUND(B13*Assumptions!B25,0)</f>
        <v>44</v>
      </c>
      <c r="D13" s="8" t="n">
        <f aca="false">ROUND(B13*Assumptions!B23,0)</f>
        <v>5</v>
      </c>
      <c r="E13" s="20" t="n">
        <f aca="false">E12+D13-F13</f>
        <v>24</v>
      </c>
      <c r="F13" s="8" t="n">
        <f aca="false">ROUND(E12*Assumptions!B44,0)</f>
        <v>1</v>
      </c>
      <c r="G13" s="20" t="n">
        <f aca="false">D13-F13</f>
        <v>4</v>
      </c>
      <c r="H13" s="20" t="n">
        <f aca="false">ROUND(E13*Assumptions!B14,0)</f>
        <v>192</v>
      </c>
      <c r="I13" s="20" t="n">
        <f aca="false">H13</f>
        <v>192</v>
      </c>
      <c r="J13" s="8" t="n">
        <f aca="false">ROUND(E13*Assumptions!B68,0)</f>
        <v>84</v>
      </c>
      <c r="K13" s="8" t="n">
        <f aca="false">ROUND(J13*Assumptions!B65,0)</f>
        <v>7</v>
      </c>
      <c r="L13" s="8" t="n">
        <f aca="false">Assumptions!B70+IF(E13&gt;Assumptions!B72,45,0)</f>
        <v>31</v>
      </c>
      <c r="M13" s="8" t="n">
        <f aca="false">Assumptions!B76+Assumptions!B77</f>
        <v>35</v>
      </c>
      <c r="N13" s="8" t="n">
        <f aca="false">Assumptions!B81+Assumptions!B82+Assumptions!B87/12</f>
        <v>50</v>
      </c>
      <c r="O13" s="8" t="n">
        <f aca="false">ROUND(I13*Assumptions!B85+E13*Assumptions!B86+W13*Assumptions!B85+ROUND(B13*Assumptions!B137*Assumptions!B138*Assumptions!B139,0)*Assumptions!B86,0)</f>
        <v>17</v>
      </c>
      <c r="P13" s="20" t="n">
        <f aca="false">K13+L13+M13+N13+O13+X13</f>
        <v>154</v>
      </c>
      <c r="Q13" s="20" t="n">
        <f aca="false">I13-P13</f>
        <v>38</v>
      </c>
      <c r="R13" s="8" t="n">
        <f aca="false">ROUND(B13*Assumptions!B51*Assumptions!B52,0)</f>
        <v>769</v>
      </c>
      <c r="S13" s="20" t="n">
        <f aca="false">I13+R13+W13</f>
        <v>1047</v>
      </c>
      <c r="T13" s="20" t="n">
        <f aca="false">IF(U13&lt;P13*3,0,IF(U13&lt;P13*6,ROUND((Q13+R13+W13)*0.75*Assumptions!B113,0),ROUND((Q13+R13+W13)*0.75*Assumptions!B114,0)))</f>
        <v>0</v>
      </c>
      <c r="U13" s="20" t="n">
        <f aca="false">U12+Q13+R13+W13</f>
        <v>-571</v>
      </c>
      <c r="V13" s="21" t="str">
        <f aca="false">IF(B13&gt;=Assumptions!B107,"Signal 6",IF(B13&gt;=Assumptions!B106,"Signal 5",IF(B13&gt;=Assumptions!B105,"Signal 4",IF(B13&gt;=Assumptions!B104,"Signal 3",IF(B13&gt;=Assumptions!B103,"Signal 2",IF(B13&gt;=Assumptions!B102,"Signal 1","Pre-Signal 1"))))))</f>
        <v>Pre-Signal 1</v>
      </c>
      <c r="W13" s="8" t="n">
        <f aca="false">ROUND(B13*Assumptions!B137*Assumptions!B138*Assumptions!B139*Assumptions!B136,0)</f>
        <v>86</v>
      </c>
      <c r="X13" s="8" t="n">
        <f aca="false">ROUND(B13*Assumptions!B137*Assumptions!B65,0)</f>
        <v>14</v>
      </c>
    </row>
    <row r="14" customFormat="false" ht="15" hidden="false" customHeight="false" outlineLevel="0" collapsed="false">
      <c r="A14" s="18" t="n">
        <v>9</v>
      </c>
      <c r="B14" s="6" t="n">
        <f aca="false">B13*(1+Assumptions!B34)</f>
        <v>2460.11701196653</v>
      </c>
      <c r="C14" s="6" t="n">
        <f aca="false">ROUND(B14*Assumptions!B25,0)</f>
        <v>49</v>
      </c>
      <c r="D14" s="6" t="n">
        <f aca="false">ROUND(B14*Assumptions!B23,0)</f>
        <v>6</v>
      </c>
      <c r="E14" s="18" t="n">
        <f aca="false">E13+D14-F14</f>
        <v>29</v>
      </c>
      <c r="F14" s="6" t="n">
        <f aca="false">ROUND(E13*Assumptions!B44,0)</f>
        <v>1</v>
      </c>
      <c r="G14" s="18" t="n">
        <f aca="false">D14-F14</f>
        <v>5</v>
      </c>
      <c r="H14" s="18" t="n">
        <f aca="false">ROUND(E14*((Assumptions!B14+Assumptions!B15)/2),0)</f>
        <v>305</v>
      </c>
      <c r="I14" s="18" t="n">
        <f aca="false">H14</f>
        <v>305</v>
      </c>
      <c r="J14" s="6" t="n">
        <f aca="false">ROUND(E14*Assumptions!B68,0)</f>
        <v>102</v>
      </c>
      <c r="K14" s="6" t="n">
        <f aca="false">ROUND(J14*Assumptions!B65,0)</f>
        <v>8</v>
      </c>
      <c r="L14" s="6" t="n">
        <f aca="false">Assumptions!B70+IF(E14&gt;Assumptions!B72,45,0)</f>
        <v>31</v>
      </c>
      <c r="M14" s="6" t="n">
        <f aca="false">Assumptions!B76+Assumptions!B77</f>
        <v>35</v>
      </c>
      <c r="N14" s="6" t="n">
        <f aca="false">Assumptions!B81+Assumptions!B82+Assumptions!B87/12</f>
        <v>50</v>
      </c>
      <c r="O14" s="6" t="n">
        <f aca="false">ROUND(I14*Assumptions!B85+E14*Assumptions!B86+W14*Assumptions!B85+ROUND(B14*Assumptions!B137*Assumptions!B138*Assumptions!B139,0)*Assumptions!B86,0)</f>
        <v>22</v>
      </c>
      <c r="P14" s="18" t="n">
        <f aca="false">K14+L14+M14+N14+O14+X14</f>
        <v>162</v>
      </c>
      <c r="Q14" s="18" t="n">
        <f aca="false">I14-P14</f>
        <v>143</v>
      </c>
      <c r="R14" s="6" t="n">
        <f aca="false">ROUND(B14*Assumptions!B51*Assumptions!B52,0)</f>
        <v>861</v>
      </c>
      <c r="S14" s="18" t="n">
        <f aca="false">I14+R14+W14</f>
        <v>1262</v>
      </c>
      <c r="T14" s="18" t="n">
        <f aca="false">IF(U14&lt;P14*3,0,IF(U14&lt;P14*6,ROUND((Q14+R14+W14)*0.75*Assumptions!B113,0),ROUND((Q14+R14+W14)*0.75*Assumptions!B114,0)))</f>
        <v>195</v>
      </c>
      <c r="U14" s="18" t="n">
        <f aca="false">U13+Q14+R14+W14</f>
        <v>529</v>
      </c>
      <c r="V14" s="19" t="str">
        <f aca="false">IF(B14&gt;=Assumptions!B107,"Signal 6",IF(B14&gt;=Assumptions!B106,"Signal 5",IF(B14&gt;=Assumptions!B105,"Signal 4",IF(B14&gt;=Assumptions!B104,"Signal 3",IF(B14&gt;=Assumptions!B103,"Signal 2",IF(B14&gt;=Assumptions!B102,"Signal 1","Pre-Signal 1"))))))</f>
        <v>Pre-Signal 1</v>
      </c>
      <c r="W14" s="6" t="n">
        <f aca="false">ROUND(B14*Assumptions!B137*Assumptions!B138*Assumptions!B139*Assumptions!B136,0)</f>
        <v>96</v>
      </c>
      <c r="X14" s="6" t="n">
        <f aca="false">ROUND(B14*Assumptions!B137*Assumptions!B65,0)</f>
        <v>16</v>
      </c>
    </row>
    <row r="15" customFormat="false" ht="15" hidden="false" customHeight="false" outlineLevel="0" collapsed="false">
      <c r="A15" s="20" t="n">
        <v>10</v>
      </c>
      <c r="B15" s="8" t="n">
        <f aca="false">B14*(1+Assumptions!B34)</f>
        <v>2755.33105340251</v>
      </c>
      <c r="C15" s="8" t="n">
        <f aca="false">ROUND(B15*Assumptions!B25,0)</f>
        <v>55</v>
      </c>
      <c r="D15" s="8" t="n">
        <f aca="false">ROUND(B15*Assumptions!B23,0)</f>
        <v>7</v>
      </c>
      <c r="E15" s="20" t="n">
        <f aca="false">E14+D15-F15</f>
        <v>34</v>
      </c>
      <c r="F15" s="8" t="n">
        <f aca="false">ROUND(E14*Assumptions!B44,0)</f>
        <v>2</v>
      </c>
      <c r="G15" s="20" t="n">
        <f aca="false">D15-F15</f>
        <v>5</v>
      </c>
      <c r="H15" s="20" t="n">
        <f aca="false">ROUND(E15*(Assumptions!B15*0.85+Assumptions!B11*0.15),0)</f>
        <v>390</v>
      </c>
      <c r="I15" s="20" t="n">
        <f aca="false">H15</f>
        <v>390</v>
      </c>
      <c r="J15" s="8" t="n">
        <f aca="false">ROUND(E15*Assumptions!B68,0)</f>
        <v>119</v>
      </c>
      <c r="K15" s="8" t="n">
        <f aca="false">ROUND(J15*Assumptions!B65,0)</f>
        <v>10</v>
      </c>
      <c r="L15" s="8" t="n">
        <f aca="false">Assumptions!B70+IF(E15&gt;Assumptions!B72,45,0)</f>
        <v>31</v>
      </c>
      <c r="M15" s="8" t="n">
        <f aca="false">Assumptions!B76+Assumptions!B77</f>
        <v>35</v>
      </c>
      <c r="N15" s="8" t="n">
        <f aca="false">Assumptions!B81+Assumptions!B82+Assumptions!B87/12</f>
        <v>50</v>
      </c>
      <c r="O15" s="8" t="n">
        <f aca="false">ROUND(I15*Assumptions!B85+E15*Assumptions!B86+W15*Assumptions!B85+ROUND(B15*Assumptions!B137*Assumptions!B138*Assumptions!B139,0)*Assumptions!B86,0)</f>
        <v>27</v>
      </c>
      <c r="P15" s="20" t="n">
        <f aca="false">K15+L15+M15+N15+O15+X15</f>
        <v>171</v>
      </c>
      <c r="Q15" s="20" t="n">
        <f aca="false">I15-P15</f>
        <v>219</v>
      </c>
      <c r="R15" s="8" t="n">
        <f aca="false">ROUND(B15*Assumptions!B51*Assumptions!B52,0)</f>
        <v>964</v>
      </c>
      <c r="S15" s="20" t="n">
        <f aca="false">I15+R15+W15</f>
        <v>1461</v>
      </c>
      <c r="T15" s="20" t="n">
        <f aca="false">IF(U15&lt;P15*3,0,IF(U15&lt;P15*6,ROUND((Q15+R15+W15)*0.75*Assumptions!B113,0),ROUND((Q15+R15+W15)*0.75*Assumptions!B114,0)))</f>
        <v>370</v>
      </c>
      <c r="U15" s="20" t="n">
        <f aca="false">U14+Q15+R15+W15</f>
        <v>1819</v>
      </c>
      <c r="V15" s="21" t="str">
        <f aca="false">IF(B15&gt;=Assumptions!B107,"Signal 6",IF(B15&gt;=Assumptions!B106,"Signal 5",IF(B15&gt;=Assumptions!B105,"Signal 4",IF(B15&gt;=Assumptions!B104,"Signal 3",IF(B15&gt;=Assumptions!B103,"Signal 2",IF(B15&gt;=Assumptions!B102,"Signal 1","Pre-Signal 1"))))))</f>
        <v>Pre-Signal 1</v>
      </c>
      <c r="W15" s="8" t="n">
        <f aca="false">ROUND(B15*Assumptions!B137*Assumptions!B138*Assumptions!B139*Assumptions!B136,0)</f>
        <v>107</v>
      </c>
      <c r="X15" s="8" t="n">
        <f aca="false">ROUND(B15*Assumptions!B137*Assumptions!B65,0)</f>
        <v>18</v>
      </c>
    </row>
    <row r="16" customFormat="false" ht="15" hidden="false" customHeight="false" outlineLevel="0" collapsed="false">
      <c r="A16" s="18" t="n">
        <v>11</v>
      </c>
      <c r="B16" s="6" t="n">
        <f aca="false">B15*(1+Assumptions!B34)</f>
        <v>3085.97077981081</v>
      </c>
      <c r="C16" s="6" t="n">
        <f aca="false">ROUND(B16*Assumptions!B25,0)</f>
        <v>62</v>
      </c>
      <c r="D16" s="6" t="n">
        <f aca="false">ROUND(B16*Assumptions!B23,0)</f>
        <v>8</v>
      </c>
      <c r="E16" s="18" t="n">
        <f aca="false">E15+D16-F16</f>
        <v>40</v>
      </c>
      <c r="F16" s="6" t="n">
        <f aca="false">ROUND(E15*Assumptions!B44,0)</f>
        <v>2</v>
      </c>
      <c r="G16" s="18" t="n">
        <f aca="false">D16-F16</f>
        <v>6</v>
      </c>
      <c r="H16" s="18" t="n">
        <f aca="false">ROUND(E16*(Assumptions!B15*0.85+Assumptions!B11*0.15),0)</f>
        <v>459</v>
      </c>
      <c r="I16" s="18" t="n">
        <f aca="false">H16</f>
        <v>459</v>
      </c>
      <c r="J16" s="6" t="n">
        <f aca="false">ROUND(E16*Assumptions!B68,0)</f>
        <v>140</v>
      </c>
      <c r="K16" s="6" t="n">
        <f aca="false">ROUND(J16*Assumptions!B65,0)</f>
        <v>11</v>
      </c>
      <c r="L16" s="6" t="n">
        <f aca="false">Assumptions!B70+IF(E16&gt;Assumptions!B72,45,0)</f>
        <v>31</v>
      </c>
      <c r="M16" s="6" t="n">
        <f aca="false">Assumptions!B76+Assumptions!B77</f>
        <v>35</v>
      </c>
      <c r="N16" s="6" t="n">
        <f aca="false">Assumptions!B81+Assumptions!B82+Assumptions!B87/12</f>
        <v>50</v>
      </c>
      <c r="O16" s="6" t="n">
        <f aca="false">ROUND(I16*Assumptions!B85+E16*Assumptions!B86+W16*Assumptions!B85+ROUND(B16*Assumptions!B137*Assumptions!B138*Assumptions!B139,0)*Assumptions!B86,0)</f>
        <v>31</v>
      </c>
      <c r="P16" s="18" t="n">
        <f aca="false">K16+L16+M16+N16+O16+X16</f>
        <v>178</v>
      </c>
      <c r="Q16" s="18" t="n">
        <f aca="false">I16-P16</f>
        <v>281</v>
      </c>
      <c r="R16" s="6" t="n">
        <f aca="false">ROUND(B16*Assumptions!B51*Assumptions!B52,0)</f>
        <v>1080</v>
      </c>
      <c r="S16" s="18" t="n">
        <f aca="false">I16+R16+W16</f>
        <v>1659</v>
      </c>
      <c r="T16" s="18" t="n">
        <f aca="false">IF(U16&lt;P16*3,0,IF(U16&lt;P16*6,ROUND((Q16+R16+W16)*0.75*Assumptions!B113,0),ROUND((Q16+R16+W16)*0.75*Assumptions!B114,0)))</f>
        <v>424</v>
      </c>
      <c r="U16" s="18" t="n">
        <f aca="false">U15+Q16+R16+W16</f>
        <v>3300</v>
      </c>
      <c r="V16" s="19" t="str">
        <f aca="false">IF(B16&gt;=Assumptions!B107,"Signal 6",IF(B16&gt;=Assumptions!B106,"Signal 5",IF(B16&gt;=Assumptions!B105,"Signal 4",IF(B16&gt;=Assumptions!B104,"Signal 3",IF(B16&gt;=Assumptions!B103,"Signal 2",IF(B16&gt;=Assumptions!B102,"Signal 1","Pre-Signal 1"))))))</f>
        <v>Pre-Signal 1</v>
      </c>
      <c r="W16" s="6" t="n">
        <f aca="false">ROUND(B16*Assumptions!B137*Assumptions!B138*Assumptions!B139*Assumptions!B136,0)</f>
        <v>120</v>
      </c>
      <c r="X16" s="6" t="n">
        <f aca="false">ROUND(B16*Assumptions!B137*Assumptions!B65,0)</f>
        <v>20</v>
      </c>
    </row>
    <row r="17" customFormat="false" ht="15" hidden="false" customHeight="false" outlineLevel="0" collapsed="false">
      <c r="A17" s="20" t="n">
        <v>12</v>
      </c>
      <c r="B17" s="8" t="n">
        <f aca="false">B16*(1+Assumptions!B34)</f>
        <v>3456.28727338811</v>
      </c>
      <c r="C17" s="8" t="n">
        <f aca="false">ROUND(B17*Assumptions!B25,0)</f>
        <v>69</v>
      </c>
      <c r="D17" s="8" t="n">
        <f aca="false">ROUND(B17*Assumptions!B23,0)</f>
        <v>9</v>
      </c>
      <c r="E17" s="20" t="n">
        <f aca="false">E16+D17-F17</f>
        <v>47</v>
      </c>
      <c r="F17" s="8" t="n">
        <f aca="false">ROUND(E16*Assumptions!B44,0)</f>
        <v>2</v>
      </c>
      <c r="G17" s="20" t="n">
        <f aca="false">D17-F17</f>
        <v>7</v>
      </c>
      <c r="H17" s="20" t="n">
        <f aca="false">ROUND(E17*(Assumptions!B15*0.85+Assumptions!B11*0.15),0)</f>
        <v>539</v>
      </c>
      <c r="I17" s="20" t="n">
        <f aca="false">H17</f>
        <v>539</v>
      </c>
      <c r="J17" s="8" t="n">
        <f aca="false">ROUND(E17*Assumptions!B68,0)</f>
        <v>165</v>
      </c>
      <c r="K17" s="8" t="n">
        <f aca="false">ROUND(J17*Assumptions!B65,0)</f>
        <v>13</v>
      </c>
      <c r="L17" s="8" t="n">
        <f aca="false">Assumptions!B70+IF(E17&gt;Assumptions!B72,45,0)</f>
        <v>31</v>
      </c>
      <c r="M17" s="8" t="n">
        <f aca="false">Assumptions!B76+Assumptions!B77</f>
        <v>35</v>
      </c>
      <c r="N17" s="8" t="n">
        <f aca="false">Assumptions!B81+Assumptions!B82+Assumptions!B87/12</f>
        <v>50</v>
      </c>
      <c r="O17" s="8" t="n">
        <f aca="false">ROUND(I17*Assumptions!B85+E17*Assumptions!B86+W17*Assumptions!B85+ROUND(B17*Assumptions!B137*Assumptions!B138*Assumptions!B139,0)*Assumptions!B86,0)</f>
        <v>37</v>
      </c>
      <c r="P17" s="20" t="n">
        <f aca="false">K17+L17+M17+N17+O17+X17</f>
        <v>188</v>
      </c>
      <c r="Q17" s="20" t="n">
        <f aca="false">I17-P17</f>
        <v>351</v>
      </c>
      <c r="R17" s="8" t="n">
        <f aca="false">ROUND(B17*Assumptions!B51*Assumptions!B52,0)</f>
        <v>1210</v>
      </c>
      <c r="S17" s="20" t="n">
        <f aca="false">I17+R17+W17</f>
        <v>1884</v>
      </c>
      <c r="T17" s="20" t="n">
        <f aca="false">IF(U17&lt;P17*3,0,IF(U17&lt;P17*6,ROUND((Q17+R17+W17)*0.75*Assumptions!B113,0),ROUND((Q17+R17+W17)*0.75*Assumptions!B114,0)))</f>
        <v>486</v>
      </c>
      <c r="U17" s="20" t="n">
        <f aca="false">U16+Q17+R17+W17</f>
        <v>4996</v>
      </c>
      <c r="V17" s="21" t="str">
        <f aca="false">IF(B17&gt;=Assumptions!B107,"Signal 6",IF(B17&gt;=Assumptions!B106,"Signal 5",IF(B17&gt;=Assumptions!B105,"Signal 4",IF(B17&gt;=Assumptions!B104,"Signal 3",IF(B17&gt;=Assumptions!B103,"Signal 2",IF(B17&gt;=Assumptions!B102,"Signal 1","Pre-Signal 1"))))))</f>
        <v>Pre-Signal 1</v>
      </c>
      <c r="W17" s="8" t="n">
        <f aca="false">ROUND(B17*Assumptions!B137*Assumptions!B138*Assumptions!B139*Assumptions!B136,0)</f>
        <v>135</v>
      </c>
      <c r="X17" s="8" t="n">
        <f aca="false">ROUND(B17*Assumptions!B137*Assumptions!B65,0)</f>
        <v>22</v>
      </c>
    </row>
    <row r="18" customFormat="false" ht="15" hidden="false" customHeight="false" outlineLevel="0" collapsed="false">
      <c r="A18" s="18" t="n">
        <v>13</v>
      </c>
      <c r="B18" s="6" t="n">
        <f aca="false">B17*(1+Assumptions!B34)</f>
        <v>3871.04174619468</v>
      </c>
      <c r="C18" s="6" t="n">
        <f aca="false">ROUND(B18*Assumptions!B25,0)</f>
        <v>77</v>
      </c>
      <c r="D18" s="6" t="n">
        <f aca="false">ROUND(B18*Assumptions!B23,0)</f>
        <v>10</v>
      </c>
      <c r="E18" s="18" t="n">
        <f aca="false">E17+D18-F18</f>
        <v>54</v>
      </c>
      <c r="F18" s="6" t="n">
        <f aca="false">ROUND(E17*Assumptions!B44,0)</f>
        <v>3</v>
      </c>
      <c r="G18" s="18" t="n">
        <f aca="false">D18-F18</f>
        <v>7</v>
      </c>
      <c r="H18" s="18" t="n">
        <f aca="false">ROUND(E18*(Assumptions!B15*0.85+Assumptions!B11*0.15),0)</f>
        <v>620</v>
      </c>
      <c r="I18" s="18" t="n">
        <f aca="false">H18</f>
        <v>620</v>
      </c>
      <c r="J18" s="6" t="n">
        <f aca="false">ROUND(E18*Assumptions!B68,0)</f>
        <v>189</v>
      </c>
      <c r="K18" s="6" t="n">
        <f aca="false">ROUND(J18*Assumptions!B65,0)</f>
        <v>15</v>
      </c>
      <c r="L18" s="6" t="n">
        <f aca="false">Assumptions!B70+IF(E18&gt;Assumptions!B72,45,0)</f>
        <v>31</v>
      </c>
      <c r="M18" s="6" t="n">
        <f aca="false">Assumptions!B76+Assumptions!B77</f>
        <v>35</v>
      </c>
      <c r="N18" s="6" t="n">
        <f aca="false">Assumptions!B81+Assumptions!B82+Assumptions!B87/12+Assumptions!B84</f>
        <v>92</v>
      </c>
      <c r="O18" s="6" t="n">
        <f aca="false">ROUND(I18*Assumptions!B85+E18*Assumptions!B86+W18*Assumptions!B85+ROUND(B18*Assumptions!B137*Assumptions!B138*Assumptions!B139,0)*Assumptions!B86,0)</f>
        <v>42</v>
      </c>
      <c r="P18" s="18" t="n">
        <f aca="false">K18+L18+M18+N18+O18+X18</f>
        <v>240</v>
      </c>
      <c r="Q18" s="18" t="n">
        <f aca="false">I18-P18</f>
        <v>380</v>
      </c>
      <c r="R18" s="6" t="n">
        <f aca="false">ROUND(B18*Assumptions!B51*Assumptions!B52,0)</f>
        <v>1355</v>
      </c>
      <c r="S18" s="18" t="n">
        <f aca="false">I18+R18+W18</f>
        <v>2126</v>
      </c>
      <c r="T18" s="18" t="n">
        <f aca="false">IF(U18&lt;P18*3,0,IF(U18&lt;P18*6,ROUND((Q18+R18+W18)*0.75*Assumptions!B113,0),ROUND((Q18+R18+W18)*0.75*Assumptions!B114,0)))</f>
        <v>540</v>
      </c>
      <c r="U18" s="18" t="n">
        <f aca="false">U17+Q18+R18+W18</f>
        <v>6882</v>
      </c>
      <c r="V18" s="19" t="str">
        <f aca="false">IF(B18&gt;=Assumptions!B107,"Signal 6",IF(B18&gt;=Assumptions!B106,"Signal 5",IF(B18&gt;=Assumptions!B105,"Signal 4",IF(B18&gt;=Assumptions!B104,"Signal 3",IF(B18&gt;=Assumptions!B103,"Signal 2",IF(B18&gt;=Assumptions!B102,"Signal 1","Pre-Signal 1"))))))</f>
        <v>Pre-Signal 1</v>
      </c>
      <c r="W18" s="6" t="n">
        <f aca="false">ROUND(B18*Assumptions!B137*Assumptions!B138*Assumptions!B139*Assumptions!B136,0)</f>
        <v>151</v>
      </c>
      <c r="X18" s="6" t="n">
        <f aca="false">ROUND(B18*Assumptions!B137*Assumptions!B65,0)</f>
        <v>25</v>
      </c>
    </row>
    <row r="19" customFormat="false" ht="15" hidden="false" customHeight="false" outlineLevel="0" collapsed="false">
      <c r="A19" s="20" t="n">
        <v>14</v>
      </c>
      <c r="B19" s="8" t="n">
        <f aca="false">B18*(1+Assumptions!B34)</f>
        <v>4335.56675573804</v>
      </c>
      <c r="C19" s="8" t="n">
        <f aca="false">ROUND(B19*Assumptions!B25,0)</f>
        <v>87</v>
      </c>
      <c r="D19" s="8" t="n">
        <f aca="false">ROUND(B19*Assumptions!B23,0)</f>
        <v>11</v>
      </c>
      <c r="E19" s="20" t="n">
        <f aca="false">E18+D19-F19</f>
        <v>62</v>
      </c>
      <c r="F19" s="8" t="n">
        <f aca="false">ROUND(E18*Assumptions!B44,0)</f>
        <v>3</v>
      </c>
      <c r="G19" s="20" t="n">
        <f aca="false">D19-F19</f>
        <v>8</v>
      </c>
      <c r="H19" s="20" t="n">
        <f aca="false">ROUND(E19*(Assumptions!B15*0.85+Assumptions!B11*0.15),0)</f>
        <v>711</v>
      </c>
      <c r="I19" s="20" t="n">
        <f aca="false">H19</f>
        <v>711</v>
      </c>
      <c r="J19" s="8" t="n">
        <f aca="false">ROUND(E19*Assumptions!B68,0)</f>
        <v>217</v>
      </c>
      <c r="K19" s="8" t="n">
        <f aca="false">ROUND(J19*Assumptions!B65,0)</f>
        <v>17</v>
      </c>
      <c r="L19" s="8" t="n">
        <f aca="false">Assumptions!B70+IF(E19&gt;Assumptions!B72,45,0)</f>
        <v>31</v>
      </c>
      <c r="M19" s="8" t="n">
        <f aca="false">Assumptions!B76+Assumptions!B77</f>
        <v>35</v>
      </c>
      <c r="N19" s="8" t="n">
        <f aca="false">Assumptions!B81+Assumptions!B82+Assumptions!B87/12+Assumptions!B84</f>
        <v>92</v>
      </c>
      <c r="O19" s="8" t="n">
        <f aca="false">ROUND(I19*Assumptions!B85+E19*Assumptions!B86+W19*Assumptions!B85+ROUND(B19*Assumptions!B137*Assumptions!B138*Assumptions!B139,0)*Assumptions!B86,0)</f>
        <v>48</v>
      </c>
      <c r="P19" s="20" t="n">
        <f aca="false">K19+L19+M19+N19+O19+X19</f>
        <v>251</v>
      </c>
      <c r="Q19" s="20" t="n">
        <f aca="false">I19-P19</f>
        <v>460</v>
      </c>
      <c r="R19" s="8" t="n">
        <f aca="false">ROUND(B19*Assumptions!B51*Assumptions!B52,0)</f>
        <v>1517</v>
      </c>
      <c r="S19" s="20" t="n">
        <f aca="false">I19+R19+W19</f>
        <v>2397</v>
      </c>
      <c r="T19" s="20" t="n">
        <f aca="false">IF(U19&lt;P19*3,0,IF(U19&lt;P19*6,ROUND((Q19+R19+W19)*0.75*Assumptions!B113,0),ROUND((Q19+R19+W19)*0.75*Assumptions!B114,0)))</f>
        <v>615</v>
      </c>
      <c r="U19" s="20" t="n">
        <f aca="false">U18+Q19+R19+W19</f>
        <v>9028</v>
      </c>
      <c r="V19" s="21" t="str">
        <f aca="false">IF(B19&gt;=Assumptions!B107,"Signal 6",IF(B19&gt;=Assumptions!B106,"Signal 5",IF(B19&gt;=Assumptions!B105,"Signal 4",IF(B19&gt;=Assumptions!B104,"Signal 3",IF(B19&gt;=Assumptions!B103,"Signal 2",IF(B19&gt;=Assumptions!B102,"Signal 1","Pre-Signal 1"))))))</f>
        <v>Pre-Signal 1</v>
      </c>
      <c r="W19" s="8" t="n">
        <f aca="false">ROUND(B19*Assumptions!B137*Assumptions!B138*Assumptions!B139*Assumptions!B136,0)</f>
        <v>169</v>
      </c>
      <c r="X19" s="8" t="n">
        <f aca="false">ROUND(B19*Assumptions!B137*Assumptions!B65,0)</f>
        <v>28</v>
      </c>
    </row>
    <row r="20" customFormat="false" ht="15" hidden="false" customHeight="false" outlineLevel="0" collapsed="false">
      <c r="A20" s="18" t="n">
        <v>15</v>
      </c>
      <c r="B20" s="6" t="n">
        <f aca="false">B19*(1+Assumptions!B34)</f>
        <v>4855.83476642661</v>
      </c>
      <c r="C20" s="6" t="n">
        <f aca="false">ROUND(B20*Assumptions!B25,0)</f>
        <v>97</v>
      </c>
      <c r="D20" s="6" t="n">
        <f aca="false">ROUND(B20*Assumptions!B23,0)</f>
        <v>12</v>
      </c>
      <c r="E20" s="18" t="n">
        <f aca="false">E19+D20-F20</f>
        <v>70</v>
      </c>
      <c r="F20" s="6" t="n">
        <f aca="false">ROUND(E19*Assumptions!B44,0)</f>
        <v>4</v>
      </c>
      <c r="G20" s="18" t="n">
        <f aca="false">D20-F20</f>
        <v>8</v>
      </c>
      <c r="H20" s="18" t="n">
        <f aca="false">ROUND(E20*(Assumptions!B15*0.85+Assumptions!B11*0.15),0)</f>
        <v>803</v>
      </c>
      <c r="I20" s="18" t="n">
        <f aca="false">H20</f>
        <v>803</v>
      </c>
      <c r="J20" s="6" t="n">
        <f aca="false">ROUND(E20*Assumptions!B68,0)</f>
        <v>245</v>
      </c>
      <c r="K20" s="6" t="n">
        <f aca="false">ROUND(J20*Assumptions!B65,0)</f>
        <v>20</v>
      </c>
      <c r="L20" s="6" t="n">
        <f aca="false">Assumptions!B70+IF(E20&gt;Assumptions!B72,45,0)</f>
        <v>31</v>
      </c>
      <c r="M20" s="6" t="n">
        <f aca="false">Assumptions!B76+Assumptions!B77</f>
        <v>35</v>
      </c>
      <c r="N20" s="6" t="n">
        <f aca="false">Assumptions!B81+Assumptions!B82+Assumptions!B87/12+Assumptions!B84</f>
        <v>92</v>
      </c>
      <c r="O20" s="6" t="n">
        <f aca="false">ROUND(I20*Assumptions!B85+E20*Assumptions!B86+W20*Assumptions!B85+ROUND(B20*Assumptions!B137*Assumptions!B138*Assumptions!B139,0)*Assumptions!B86,0)</f>
        <v>54</v>
      </c>
      <c r="P20" s="18" t="n">
        <f aca="false">K20+L20+M20+N20+O20+X20</f>
        <v>263</v>
      </c>
      <c r="Q20" s="18" t="n">
        <f aca="false">I20-P20</f>
        <v>540</v>
      </c>
      <c r="R20" s="6" t="n">
        <f aca="false">ROUND(B20*Assumptions!B51*Assumptions!B52,0)</f>
        <v>1700</v>
      </c>
      <c r="S20" s="18" t="n">
        <f aca="false">I20+R20+W20</f>
        <v>2692</v>
      </c>
      <c r="T20" s="18" t="n">
        <f aca="false">IF(U20&lt;P20*3,0,IF(U20&lt;P20*6,ROUND((Q20+R20+W20)*0.75*Assumptions!B113,0),ROUND((Q20+R20+W20)*0.75*Assumptions!B114,0)))</f>
        <v>696</v>
      </c>
      <c r="U20" s="18" t="n">
        <f aca="false">U19+Q20+R20+W20</f>
        <v>11457</v>
      </c>
      <c r="V20" s="19" t="str">
        <f aca="false">IF(B20&gt;=Assumptions!B107,"Signal 6",IF(B20&gt;=Assumptions!B106,"Signal 5",IF(B20&gt;=Assumptions!B105,"Signal 4",IF(B20&gt;=Assumptions!B104,"Signal 3",IF(B20&gt;=Assumptions!B103,"Signal 2",IF(B20&gt;=Assumptions!B102,"Signal 1","Pre-Signal 1"))))))</f>
        <v>Pre-Signal 1</v>
      </c>
      <c r="W20" s="6" t="n">
        <f aca="false">ROUND(B20*Assumptions!B137*Assumptions!B138*Assumptions!B139*Assumptions!B136,0)</f>
        <v>189</v>
      </c>
      <c r="X20" s="6" t="n">
        <f aca="false">ROUND(B20*Assumptions!B137*Assumptions!B65,0)</f>
        <v>31</v>
      </c>
    </row>
    <row r="21" customFormat="false" ht="15" hidden="false" customHeight="false" outlineLevel="0" collapsed="false">
      <c r="A21" s="20" t="n">
        <v>16</v>
      </c>
      <c r="B21" s="8" t="n">
        <f aca="false">B20*(1+Assumptions!B34)</f>
        <v>5438.5349383978</v>
      </c>
      <c r="C21" s="8" t="n">
        <f aca="false">ROUND(B21*Assumptions!B25,0)</f>
        <v>109</v>
      </c>
      <c r="D21" s="8" t="n">
        <f aca="false">ROUND(B21*Assumptions!B23,0)</f>
        <v>14</v>
      </c>
      <c r="E21" s="20" t="n">
        <f aca="false">E20+D21-F21</f>
        <v>80</v>
      </c>
      <c r="F21" s="8" t="n">
        <f aca="false">ROUND(E20*Assumptions!B44,0)</f>
        <v>4</v>
      </c>
      <c r="G21" s="20" t="n">
        <f aca="false">D21-F21</f>
        <v>10</v>
      </c>
      <c r="H21" s="20" t="n">
        <f aca="false">ROUND(E21*(Assumptions!B15*0.85+Assumptions!B11*0.15),0)</f>
        <v>918</v>
      </c>
      <c r="I21" s="20" t="n">
        <f aca="false">H21</f>
        <v>918</v>
      </c>
      <c r="J21" s="8" t="n">
        <f aca="false">ROUND(E21*Assumptions!B68,0)</f>
        <v>280</v>
      </c>
      <c r="K21" s="8" t="n">
        <f aca="false">ROUND(J21*Assumptions!B65,0)</f>
        <v>22</v>
      </c>
      <c r="L21" s="8" t="n">
        <f aca="false">Assumptions!B70+IF(E21&gt;Assumptions!B72,45,0)</f>
        <v>31</v>
      </c>
      <c r="M21" s="8" t="n">
        <f aca="false">Assumptions!B76+Assumptions!B77</f>
        <v>35</v>
      </c>
      <c r="N21" s="8" t="n">
        <f aca="false">Assumptions!B81+Assumptions!B82+Assumptions!B87/12+Assumptions!B84</f>
        <v>92</v>
      </c>
      <c r="O21" s="8" t="n">
        <f aca="false">ROUND(I21*Assumptions!B85+E21*Assumptions!B86+W21*Assumptions!B85+ROUND(B21*Assumptions!B137*Assumptions!B138*Assumptions!B139,0)*Assumptions!B86,0)</f>
        <v>62</v>
      </c>
      <c r="P21" s="20" t="n">
        <f aca="false">K21+L21+M21+N21+O21+X21</f>
        <v>277</v>
      </c>
      <c r="Q21" s="20" t="n">
        <f aca="false">I21-P21</f>
        <v>641</v>
      </c>
      <c r="R21" s="8" t="n">
        <f aca="false">ROUND(B21*Assumptions!B51*Assumptions!B52,0)</f>
        <v>1903</v>
      </c>
      <c r="S21" s="20" t="n">
        <f aca="false">I21+R21+W21</f>
        <v>3033</v>
      </c>
      <c r="T21" s="20" t="n">
        <f aca="false">IF(U21&lt;P21*3,0,IF(U21&lt;P21*6,ROUND((Q21+R21+W21)*0.75*Assumptions!B113,0),ROUND((Q21+R21+W21)*0.75*Assumptions!B114,0)))</f>
        <v>790</v>
      </c>
      <c r="U21" s="20" t="n">
        <f aca="false">U20+Q21+R21+W21</f>
        <v>14213</v>
      </c>
      <c r="V21" s="21" t="str">
        <f aca="false">IF(B21&gt;=Assumptions!B107,"Signal 6",IF(B21&gt;=Assumptions!B106,"Signal 5",IF(B21&gt;=Assumptions!B105,"Signal 4",IF(B21&gt;=Assumptions!B104,"Signal 3",IF(B21&gt;=Assumptions!B103,"Signal 2",IF(B21&gt;=Assumptions!B102,"Signal 1","Pre-Signal 1"))))))</f>
        <v>Pre-Signal 1</v>
      </c>
      <c r="W21" s="8" t="n">
        <f aca="false">ROUND(B21*Assumptions!B137*Assumptions!B138*Assumptions!B139*Assumptions!B136,0)</f>
        <v>212</v>
      </c>
      <c r="X21" s="8" t="n">
        <f aca="false">ROUND(B21*Assumptions!B137*Assumptions!B65,0)</f>
        <v>35</v>
      </c>
    </row>
    <row r="22" customFormat="false" ht="15" hidden="false" customHeight="false" outlineLevel="0" collapsed="false">
      <c r="A22" s="18" t="n">
        <v>17</v>
      </c>
      <c r="B22" s="6" t="n">
        <f aca="false">B21*(1+Assumptions!B34)</f>
        <v>6091.15913100554</v>
      </c>
      <c r="C22" s="6" t="n">
        <f aca="false">ROUND(B22*Assumptions!B25,0)</f>
        <v>122</v>
      </c>
      <c r="D22" s="6" t="n">
        <f aca="false">ROUND(B22*Assumptions!B23,0)</f>
        <v>15</v>
      </c>
      <c r="E22" s="18" t="n">
        <f aca="false">E21+D22-F22</f>
        <v>90</v>
      </c>
      <c r="F22" s="6" t="n">
        <f aca="false">ROUND(E21*Assumptions!B44,0)</f>
        <v>5</v>
      </c>
      <c r="G22" s="18" t="n">
        <f aca="false">D22-F22</f>
        <v>10</v>
      </c>
      <c r="H22" s="18" t="n">
        <f aca="false">ROUND(E22*(Assumptions!B15*0.85+Assumptions!B11*0.15),0)</f>
        <v>1033</v>
      </c>
      <c r="I22" s="18" t="n">
        <f aca="false">H22</f>
        <v>1033</v>
      </c>
      <c r="J22" s="6" t="n">
        <f aca="false">ROUND(E22*Assumptions!B68,0)</f>
        <v>315</v>
      </c>
      <c r="K22" s="6" t="n">
        <f aca="false">ROUND(J22*Assumptions!B65,0)</f>
        <v>25</v>
      </c>
      <c r="L22" s="6" t="n">
        <f aca="false">Assumptions!B70+IF(E22&gt;Assumptions!B72,45,0)</f>
        <v>31</v>
      </c>
      <c r="M22" s="6" t="n">
        <f aca="false">Assumptions!B76+Assumptions!B77</f>
        <v>35</v>
      </c>
      <c r="N22" s="6" t="n">
        <f aca="false">Assumptions!B81+Assumptions!B82+Assumptions!B87/12+Assumptions!B84</f>
        <v>92</v>
      </c>
      <c r="O22" s="6" t="n">
        <f aca="false">ROUND(I22*Assumptions!B85+E22*Assumptions!B86+W22*Assumptions!B85+ROUND(B22*Assumptions!B137*Assumptions!B138*Assumptions!B139,0)*Assumptions!B86,0)</f>
        <v>69</v>
      </c>
      <c r="P22" s="18" t="n">
        <f aca="false">K22+L22+M22+N22+O22+X22</f>
        <v>291</v>
      </c>
      <c r="Q22" s="18" t="n">
        <f aca="false">I22-P22</f>
        <v>742</v>
      </c>
      <c r="R22" s="6" t="n">
        <f aca="false">ROUND(B22*Assumptions!B51*Assumptions!B52,0)</f>
        <v>2132</v>
      </c>
      <c r="S22" s="18" t="n">
        <f aca="false">I22+R22+W22</f>
        <v>3403</v>
      </c>
      <c r="T22" s="18" t="n">
        <f aca="false">IF(U22&lt;P22*3,0,IF(U22&lt;P22*6,ROUND((Q22+R22+W22)*0.75*Assumptions!B113,0),ROUND((Q22+R22+W22)*0.75*Assumptions!B114,0)))</f>
        <v>892</v>
      </c>
      <c r="U22" s="18" t="n">
        <f aca="false">U21+Q22+R22+W22</f>
        <v>17325</v>
      </c>
      <c r="V22" s="19" t="str">
        <f aca="false">IF(B22&gt;=Assumptions!B107,"Signal 6",IF(B22&gt;=Assumptions!B106,"Signal 5",IF(B22&gt;=Assumptions!B105,"Signal 4",IF(B22&gt;=Assumptions!B104,"Signal 3",IF(B22&gt;=Assumptions!B103,"Signal 2",IF(B22&gt;=Assumptions!B102,"Signal 1","Pre-Signal 1"))))))</f>
        <v>Pre-Signal 1</v>
      </c>
      <c r="W22" s="6" t="n">
        <f aca="false">ROUND(B22*Assumptions!B137*Assumptions!B138*Assumptions!B139*Assumptions!B136,0)</f>
        <v>238</v>
      </c>
      <c r="X22" s="6" t="n">
        <f aca="false">ROUND(B22*Assumptions!B137*Assumptions!B65,0)</f>
        <v>39</v>
      </c>
    </row>
    <row r="23" customFormat="false" ht="15" hidden="false" customHeight="false" outlineLevel="0" collapsed="false">
      <c r="A23" s="20" t="n">
        <v>18</v>
      </c>
      <c r="B23" s="8" t="n">
        <f aca="false">B22*(1+Assumptions!B34)</f>
        <v>6822.0982267262</v>
      </c>
      <c r="C23" s="8" t="n">
        <f aca="false">ROUND(B23*Assumptions!B25,0)</f>
        <v>136</v>
      </c>
      <c r="D23" s="8" t="n">
        <f aca="false">ROUND(B23*Assumptions!B23,0)</f>
        <v>17</v>
      </c>
      <c r="E23" s="20" t="n">
        <f aca="false">E22+D23-F23</f>
        <v>102</v>
      </c>
      <c r="F23" s="8" t="n">
        <f aca="false">ROUND(E22*Assumptions!B44,0)</f>
        <v>5</v>
      </c>
      <c r="G23" s="20" t="n">
        <f aca="false">D23-F23</f>
        <v>12</v>
      </c>
      <c r="H23" s="20" t="n">
        <f aca="false">ROUND(E23*(Assumptions!B15*0.85+Assumptions!B11*0.15),0)</f>
        <v>1170</v>
      </c>
      <c r="I23" s="20" t="n">
        <f aca="false">H23</f>
        <v>1170</v>
      </c>
      <c r="J23" s="8" t="n">
        <f aca="false">ROUND(E23*Assumptions!B68,0)</f>
        <v>357</v>
      </c>
      <c r="K23" s="8" t="n">
        <f aca="false">ROUND(J23*Assumptions!B65,0)</f>
        <v>29</v>
      </c>
      <c r="L23" s="8" t="n">
        <f aca="false">Assumptions!B70+IF(E23&gt;Assumptions!B72,45,0)</f>
        <v>31</v>
      </c>
      <c r="M23" s="8" t="n">
        <f aca="false">Assumptions!B76+Assumptions!B77</f>
        <v>35</v>
      </c>
      <c r="N23" s="8" t="n">
        <f aca="false">Assumptions!B81+Assumptions!B82+Assumptions!B87/12+Assumptions!B84</f>
        <v>92</v>
      </c>
      <c r="O23" s="8" t="n">
        <f aca="false">ROUND(I23*Assumptions!B85+E23*Assumptions!B86+W23*Assumptions!B85+ROUND(B23*Assumptions!B137*Assumptions!B138*Assumptions!B139,0)*Assumptions!B86,0)</f>
        <v>78</v>
      </c>
      <c r="P23" s="20" t="n">
        <f aca="false">K23+L23+M23+N23+O23+X23</f>
        <v>309</v>
      </c>
      <c r="Q23" s="20" t="n">
        <f aca="false">I23-P23</f>
        <v>861</v>
      </c>
      <c r="R23" s="8" t="n">
        <f aca="false">ROUND(B23*Assumptions!B51*Assumptions!B52,0)</f>
        <v>2388</v>
      </c>
      <c r="S23" s="20" t="n">
        <f aca="false">I23+R23+W23</f>
        <v>3824</v>
      </c>
      <c r="T23" s="20" t="n">
        <f aca="false">IF(U23&lt;P23*3,0,IF(U23&lt;P23*6,ROUND((Q23+R23+W23)*0.75*Assumptions!B113,0),ROUND((Q23+R23+W23)*0.75*Assumptions!B114,0)))</f>
        <v>1007</v>
      </c>
      <c r="U23" s="20" t="n">
        <f aca="false">U22+Q23+R23+W23</f>
        <v>20840</v>
      </c>
      <c r="V23" s="21" t="str">
        <f aca="false">IF(B23&gt;=Assumptions!B107,"Signal 6",IF(B23&gt;=Assumptions!B106,"Signal 5",IF(B23&gt;=Assumptions!B105,"Signal 4",IF(B23&gt;=Assumptions!B104,"Signal 3",IF(B23&gt;=Assumptions!B103,"Signal 2",IF(B23&gt;=Assumptions!B102,"Signal 1","Pre-Signal 1"))))))</f>
        <v>Pre-Signal 1</v>
      </c>
      <c r="W23" s="8" t="n">
        <f aca="false">ROUND(B23*Assumptions!B137*Assumptions!B138*Assumptions!B139*Assumptions!B136,0)</f>
        <v>266</v>
      </c>
      <c r="X23" s="8" t="n">
        <f aca="false">ROUND(B23*Assumptions!B137*Assumptions!B65,0)</f>
        <v>44</v>
      </c>
    </row>
    <row r="24" customFormat="false" ht="15" hidden="false" customHeight="false" outlineLevel="0" collapsed="false">
      <c r="A24" s="18" t="n">
        <v>19</v>
      </c>
      <c r="B24" s="6" t="n">
        <f aca="false">B23*(1+Assumptions!B34)</f>
        <v>7640.75001393335</v>
      </c>
      <c r="C24" s="6" t="n">
        <f aca="false">ROUND(B24*Assumptions!B25,0)</f>
        <v>153</v>
      </c>
      <c r="D24" s="6" t="n">
        <f aca="false">ROUND(B24*Assumptions!B23,0)</f>
        <v>19</v>
      </c>
      <c r="E24" s="18" t="n">
        <f aca="false">E23+D24-F24</f>
        <v>115</v>
      </c>
      <c r="F24" s="6" t="n">
        <f aca="false">ROUND(E23*Assumptions!B44,0)</f>
        <v>6</v>
      </c>
      <c r="G24" s="18" t="n">
        <f aca="false">D24-F24</f>
        <v>13</v>
      </c>
      <c r="H24" s="18" t="n">
        <f aca="false">ROUND(E24*(Assumptions!B15*0.85+Assumptions!B11*0.15),0)</f>
        <v>1320</v>
      </c>
      <c r="I24" s="18" t="n">
        <f aca="false">H24</f>
        <v>1320</v>
      </c>
      <c r="J24" s="6" t="n">
        <f aca="false">ROUND(E24*Assumptions!B68,0)</f>
        <v>403</v>
      </c>
      <c r="K24" s="6" t="n">
        <f aca="false">ROUND(J24*Assumptions!B65,0)</f>
        <v>32</v>
      </c>
      <c r="L24" s="6" t="n">
        <f aca="false">Assumptions!B70+IF(E24&gt;Assumptions!B72,45,0)</f>
        <v>31</v>
      </c>
      <c r="M24" s="6" t="n">
        <f aca="false">Assumptions!B76+Assumptions!B77</f>
        <v>35</v>
      </c>
      <c r="N24" s="6" t="n">
        <f aca="false">Assumptions!B81+Assumptions!B82+Assumptions!B87/12+Assumptions!B84</f>
        <v>92</v>
      </c>
      <c r="O24" s="6" t="n">
        <f aca="false">ROUND(I24*Assumptions!B85+E24*Assumptions!B86+W24*Assumptions!B85+ROUND(B24*Assumptions!B137*Assumptions!B138*Assumptions!B139,0)*Assumptions!B86,0)</f>
        <v>88</v>
      </c>
      <c r="P24" s="18" t="n">
        <f aca="false">K24+L24+M24+N24+O24+X24</f>
        <v>327</v>
      </c>
      <c r="Q24" s="18" t="n">
        <f aca="false">I24-P24</f>
        <v>993</v>
      </c>
      <c r="R24" s="6" t="n">
        <f aca="false">ROUND(B24*Assumptions!B51*Assumptions!B52,0)</f>
        <v>2674</v>
      </c>
      <c r="S24" s="18" t="n">
        <f aca="false">I24+R24+W24</f>
        <v>4292</v>
      </c>
      <c r="T24" s="18" t="n">
        <f aca="false">IF(U24&lt;P24*3,0,IF(U24&lt;P24*6,ROUND((Q24+R24+W24)*0.75*Assumptions!B113,0),ROUND((Q24+R24+W24)*0.75*Assumptions!B114,0)))</f>
        <v>1136</v>
      </c>
      <c r="U24" s="18" t="n">
        <f aca="false">U23+Q24+R24+W24</f>
        <v>24805</v>
      </c>
      <c r="V24" s="19" t="str">
        <f aca="false">IF(B24&gt;=Assumptions!B107,"Signal 6",IF(B24&gt;=Assumptions!B106,"Signal 5",IF(B24&gt;=Assumptions!B105,"Signal 4",IF(B24&gt;=Assumptions!B104,"Signal 3",IF(B24&gt;=Assumptions!B103,"Signal 2",IF(B24&gt;=Assumptions!B102,"Signal 1","Pre-Signal 1"))))))</f>
        <v>Pre-Signal 1</v>
      </c>
      <c r="W24" s="6" t="n">
        <f aca="false">ROUND(B24*Assumptions!B137*Assumptions!B138*Assumptions!B139*Assumptions!B136,0)</f>
        <v>298</v>
      </c>
      <c r="X24" s="6" t="n">
        <f aca="false">ROUND(B24*Assumptions!B137*Assumptions!B65,0)</f>
        <v>49</v>
      </c>
    </row>
    <row r="25" customFormat="false" ht="15" hidden="false" customHeight="false" outlineLevel="0" collapsed="false">
      <c r="A25" s="20" t="n">
        <v>20</v>
      </c>
      <c r="B25" s="8" t="n">
        <f aca="false">B24*(1+Assumptions!B34)</f>
        <v>8557.64001560535</v>
      </c>
      <c r="C25" s="8" t="n">
        <f aca="false">ROUND(B25*Assumptions!B25,0)</f>
        <v>171</v>
      </c>
      <c r="D25" s="8" t="n">
        <f aca="false">ROUND(B25*Assumptions!B23,0)</f>
        <v>21</v>
      </c>
      <c r="E25" s="20" t="n">
        <f aca="false">E24+D25-F25</f>
        <v>129</v>
      </c>
      <c r="F25" s="8" t="n">
        <f aca="false">ROUND(E24*Assumptions!B44,0)</f>
        <v>7</v>
      </c>
      <c r="G25" s="20" t="n">
        <f aca="false">D25-F25</f>
        <v>14</v>
      </c>
      <c r="H25" s="20" t="n">
        <f aca="false">ROUND(E25*(Assumptions!B15*0.85+Assumptions!B11*0.15),0)</f>
        <v>1480</v>
      </c>
      <c r="I25" s="20" t="n">
        <f aca="false">H25</f>
        <v>1480</v>
      </c>
      <c r="J25" s="8" t="n">
        <f aca="false">ROUND(E25*Assumptions!B68,0)</f>
        <v>452</v>
      </c>
      <c r="K25" s="8" t="n">
        <f aca="false">ROUND(J25*Assumptions!B65,0)</f>
        <v>36</v>
      </c>
      <c r="L25" s="8" t="n">
        <f aca="false">Assumptions!B70+IF(E25&gt;Assumptions!B72,45,0)</f>
        <v>31</v>
      </c>
      <c r="M25" s="8" t="n">
        <f aca="false">Assumptions!B76+Assumptions!B77</f>
        <v>35</v>
      </c>
      <c r="N25" s="8" t="n">
        <f aca="false">Assumptions!B81+Assumptions!B82+Assumptions!B87/12+Assumptions!B84</f>
        <v>92</v>
      </c>
      <c r="O25" s="8" t="n">
        <f aca="false">ROUND(I25*Assumptions!B85+E25*Assumptions!B86+W25*Assumptions!B85+ROUND(B25*Assumptions!B137*Assumptions!B138*Assumptions!B139,0)*Assumptions!B86,0)</f>
        <v>99</v>
      </c>
      <c r="P25" s="20" t="n">
        <f aca="false">K25+L25+M25+N25+O25+X25</f>
        <v>348</v>
      </c>
      <c r="Q25" s="20" t="n">
        <f aca="false">I25-P25</f>
        <v>1132</v>
      </c>
      <c r="R25" s="8" t="n">
        <f aca="false">ROUND(B25*Assumptions!B51*Assumptions!B52,0)</f>
        <v>2995</v>
      </c>
      <c r="S25" s="20" t="n">
        <f aca="false">I25+R25+W25</f>
        <v>4809</v>
      </c>
      <c r="T25" s="20" t="n">
        <f aca="false">IF(U25&lt;P25*3,0,IF(U25&lt;P25*6,ROUND((Q25+R25+W25)*0.75*Assumptions!B113,0),ROUND((Q25+R25+W25)*0.75*Assumptions!B114,0)))</f>
        <v>1278</v>
      </c>
      <c r="U25" s="20" t="n">
        <f aca="false">U24+Q25+R25+W25</f>
        <v>29266</v>
      </c>
      <c r="V25" s="21" t="str">
        <f aca="false">IF(B25&gt;=Assumptions!B107,"Signal 6",IF(B25&gt;=Assumptions!B106,"Signal 5",IF(B25&gt;=Assumptions!B105,"Signal 4",IF(B25&gt;=Assumptions!B104,"Signal 3",IF(B25&gt;=Assumptions!B103,"Signal 2",IF(B25&gt;=Assumptions!B102,"Signal 1","Pre-Signal 1"))))))</f>
        <v>Pre-Signal 1</v>
      </c>
      <c r="W25" s="8" t="n">
        <f aca="false">ROUND(B25*Assumptions!B137*Assumptions!B138*Assumptions!B139*Assumptions!B136,0)</f>
        <v>334</v>
      </c>
      <c r="X25" s="8" t="n">
        <f aca="false">ROUND(B25*Assumptions!B137*Assumptions!B65,0)</f>
        <v>55</v>
      </c>
    </row>
    <row r="26" customFormat="false" ht="15" hidden="false" customHeight="false" outlineLevel="0" collapsed="false">
      <c r="A26" s="18" t="n">
        <v>21</v>
      </c>
      <c r="B26" s="6" t="n">
        <f aca="false">B25*(1+Assumptions!B34)</f>
        <v>9584.55681747799</v>
      </c>
      <c r="C26" s="6" t="n">
        <f aca="false">ROUND(B26*Assumptions!B25,0)</f>
        <v>192</v>
      </c>
      <c r="D26" s="6" t="n">
        <f aca="false">ROUND(B26*Assumptions!B23,0)</f>
        <v>24</v>
      </c>
      <c r="E26" s="18" t="n">
        <f aca="false">E25+D26-F26</f>
        <v>145</v>
      </c>
      <c r="F26" s="6" t="n">
        <f aca="false">ROUND(E25*Assumptions!B44,0)</f>
        <v>8</v>
      </c>
      <c r="G26" s="18" t="n">
        <f aca="false">D26-F26</f>
        <v>16</v>
      </c>
      <c r="H26" s="18" t="n">
        <f aca="false">ROUND(E26*(Assumptions!B15*0.85+Assumptions!B11*0.15),0)</f>
        <v>1664</v>
      </c>
      <c r="I26" s="18" t="n">
        <f aca="false">H26</f>
        <v>1664</v>
      </c>
      <c r="J26" s="6" t="n">
        <f aca="false">ROUND(E26*Assumptions!B68,0)</f>
        <v>508</v>
      </c>
      <c r="K26" s="6" t="n">
        <f aca="false">ROUND(J26*Assumptions!B65,0)</f>
        <v>41</v>
      </c>
      <c r="L26" s="6" t="n">
        <f aca="false">Assumptions!B70+IF(E26&gt;Assumptions!B72,45,0)</f>
        <v>31</v>
      </c>
      <c r="M26" s="6" t="n">
        <f aca="false">Assumptions!B76+Assumptions!B77</f>
        <v>35</v>
      </c>
      <c r="N26" s="6" t="n">
        <f aca="false">Assumptions!B81+Assumptions!B82+Assumptions!B87/12+Assumptions!B84</f>
        <v>92</v>
      </c>
      <c r="O26" s="6" t="n">
        <f aca="false">ROUND(I26*Assumptions!B85+E26*Assumptions!B86+W26*Assumptions!B85+ROUND(B26*Assumptions!B137*Assumptions!B138*Assumptions!B139,0)*Assumptions!B86,0)</f>
        <v>111</v>
      </c>
      <c r="P26" s="18" t="n">
        <f aca="false">K26+L26+M26+N26+O26+X26</f>
        <v>371</v>
      </c>
      <c r="Q26" s="18" t="n">
        <f aca="false">I26-P26</f>
        <v>1293</v>
      </c>
      <c r="R26" s="6" t="n">
        <f aca="false">ROUND(B26*Assumptions!B51*Assumptions!B52,0)</f>
        <v>3355</v>
      </c>
      <c r="S26" s="18" t="n">
        <f aca="false">I26+R26+W26</f>
        <v>5393</v>
      </c>
      <c r="T26" s="18" t="n">
        <f aca="false">IF(U26&lt;P26*3,0,IF(U26&lt;P26*6,ROUND((Q26+R26+W26)*0.75*Assumptions!B113,0),ROUND((Q26+R26+W26)*0.75*Assumptions!B114,0)))</f>
        <v>1439</v>
      </c>
      <c r="U26" s="18" t="n">
        <f aca="false">U25+Q26+R26+W26</f>
        <v>34288</v>
      </c>
      <c r="V26" s="19" t="str">
        <f aca="false">IF(B26&gt;=Assumptions!B107,"Signal 6",IF(B26&gt;=Assumptions!B106,"Signal 5",IF(B26&gt;=Assumptions!B105,"Signal 4",IF(B26&gt;=Assumptions!B104,"Signal 3",IF(B26&gt;=Assumptions!B103,"Signal 2",IF(B26&gt;=Assumptions!B102,"Signal 1","Pre-Signal 1"))))))</f>
        <v>Pre-Signal 1</v>
      </c>
      <c r="W26" s="6" t="n">
        <f aca="false">ROUND(B26*Assumptions!B137*Assumptions!B138*Assumptions!B139*Assumptions!B136,0)</f>
        <v>374</v>
      </c>
      <c r="X26" s="6" t="n">
        <f aca="false">ROUND(B26*Assumptions!B137*Assumptions!B65,0)</f>
        <v>61</v>
      </c>
    </row>
    <row r="27" customFormat="false" ht="15" hidden="false" customHeight="false" outlineLevel="0" collapsed="false">
      <c r="A27" s="20" t="n">
        <v>22</v>
      </c>
      <c r="B27" s="8" t="n">
        <f aca="false">B26*(1+Assumptions!B34)</f>
        <v>10734.7036355754</v>
      </c>
      <c r="C27" s="8" t="n">
        <f aca="false">ROUND(B27*Assumptions!B25,0)</f>
        <v>215</v>
      </c>
      <c r="D27" s="8" t="n">
        <f aca="false">ROUND(B27*Assumptions!B23,0)</f>
        <v>27</v>
      </c>
      <c r="E27" s="20" t="n">
        <f aca="false">E26+D27-F27</f>
        <v>163</v>
      </c>
      <c r="F27" s="8" t="n">
        <f aca="false">ROUND(E26*Assumptions!B44,0)</f>
        <v>9</v>
      </c>
      <c r="G27" s="20" t="n">
        <f aca="false">D27-F27</f>
        <v>18</v>
      </c>
      <c r="H27" s="20" t="n">
        <f aca="false">ROUND(E27*(Assumptions!B15*0.85+Assumptions!B11*0.15),0)</f>
        <v>1870</v>
      </c>
      <c r="I27" s="20" t="n">
        <f aca="false">H27</f>
        <v>1870</v>
      </c>
      <c r="J27" s="8" t="n">
        <f aca="false">ROUND(E27*Assumptions!B68,0)</f>
        <v>571</v>
      </c>
      <c r="K27" s="8" t="n">
        <f aca="false">ROUND(J27*Assumptions!B65,0)</f>
        <v>46</v>
      </c>
      <c r="L27" s="8" t="n">
        <f aca="false">Assumptions!B70+IF(E27&gt;Assumptions!B72,45,0)</f>
        <v>31</v>
      </c>
      <c r="M27" s="8" t="n">
        <f aca="false">Assumptions!B76+Assumptions!B77</f>
        <v>35</v>
      </c>
      <c r="N27" s="8" t="n">
        <f aca="false">Assumptions!B81+Assumptions!B82+Assumptions!B87/12+Assumptions!B84</f>
        <v>92</v>
      </c>
      <c r="O27" s="8" t="n">
        <f aca="false">ROUND(I27*Assumptions!B85+E27*Assumptions!B86+W27*Assumptions!B85+ROUND(B27*Assumptions!B137*Assumptions!B138*Assumptions!B139,0)*Assumptions!B86,0)</f>
        <v>125</v>
      </c>
      <c r="P27" s="20" t="n">
        <f aca="false">K27+L27+M27+N27+O27+X27</f>
        <v>398</v>
      </c>
      <c r="Q27" s="20" t="n">
        <f aca="false">I27-P27</f>
        <v>1472</v>
      </c>
      <c r="R27" s="8" t="n">
        <f aca="false">ROUND(B27*Assumptions!B51*Assumptions!B52,0)</f>
        <v>3757</v>
      </c>
      <c r="S27" s="20" t="n">
        <f aca="false">I27+R27+W27</f>
        <v>6046</v>
      </c>
      <c r="T27" s="20" t="n">
        <f aca="false">IF(U27&lt;P27*3,0,IF(U27&lt;P27*6,ROUND((Q27+R27+W27)*0.75*Assumptions!B113,0),ROUND((Q27+R27+W27)*0.75*Assumptions!B114,0)))</f>
        <v>1618</v>
      </c>
      <c r="U27" s="20" t="n">
        <f aca="false">U26+Q27+R27+W27</f>
        <v>39936</v>
      </c>
      <c r="V27" s="21" t="str">
        <f aca="false">IF(B27&gt;=Assumptions!B107,"Signal 6",IF(B27&gt;=Assumptions!B106,"Signal 5",IF(B27&gt;=Assumptions!B105,"Signal 4",IF(B27&gt;=Assumptions!B104,"Signal 3",IF(B27&gt;=Assumptions!B103,"Signal 2",IF(B27&gt;=Assumptions!B102,"Signal 1","Pre-Signal 1"))))))</f>
        <v>Signal 1</v>
      </c>
      <c r="W27" s="8" t="n">
        <f aca="false">ROUND(B27*Assumptions!B137*Assumptions!B138*Assumptions!B139*Assumptions!B136,0)</f>
        <v>419</v>
      </c>
      <c r="X27" s="8" t="n">
        <f aca="false">ROUND(B27*Assumptions!B137*Assumptions!B65,0)</f>
        <v>69</v>
      </c>
    </row>
    <row r="28" customFormat="false" ht="15" hidden="false" customHeight="false" outlineLevel="0" collapsed="false">
      <c r="A28" s="18" t="n">
        <v>23</v>
      </c>
      <c r="B28" s="6" t="n">
        <f aca="false">B27*(1+Assumptions!B34)</f>
        <v>12022.8680718444</v>
      </c>
      <c r="C28" s="6" t="n">
        <f aca="false">ROUND(B28*Assumptions!B25,0)</f>
        <v>240</v>
      </c>
      <c r="D28" s="6" t="n">
        <f aca="false">ROUND(B28*Assumptions!B23,0)</f>
        <v>30</v>
      </c>
      <c r="E28" s="18" t="n">
        <f aca="false">E27+D28-F28</f>
        <v>183</v>
      </c>
      <c r="F28" s="6" t="n">
        <f aca="false">ROUND(E27*Assumptions!B44,0)</f>
        <v>10</v>
      </c>
      <c r="G28" s="18" t="n">
        <f aca="false">D28-F28</f>
        <v>20</v>
      </c>
      <c r="H28" s="18" t="n">
        <f aca="false">ROUND(E28*(Assumptions!B15*0.85+Assumptions!B11*0.15),0)</f>
        <v>2100</v>
      </c>
      <c r="I28" s="18" t="n">
        <f aca="false">H28</f>
        <v>2100</v>
      </c>
      <c r="J28" s="6" t="n">
        <f aca="false">ROUND(E28*Assumptions!B68,0)</f>
        <v>641</v>
      </c>
      <c r="K28" s="6" t="n">
        <f aca="false">ROUND(J28*Assumptions!B65,0)</f>
        <v>51</v>
      </c>
      <c r="L28" s="6" t="n">
        <f aca="false">Assumptions!B70+IF(E28&gt;Assumptions!B72,45,0)</f>
        <v>31</v>
      </c>
      <c r="M28" s="6" t="n">
        <f aca="false">Assumptions!B76+Assumptions!B77</f>
        <v>35</v>
      </c>
      <c r="N28" s="6" t="n">
        <f aca="false">Assumptions!B81+Assumptions!B82+Assumptions!B87/12+Assumptions!B84</f>
        <v>92</v>
      </c>
      <c r="O28" s="6" t="n">
        <f aca="false">ROUND(I28*Assumptions!B85+E28*Assumptions!B86+W28*Assumptions!B85+ROUND(B28*Assumptions!B137*Assumptions!B138*Assumptions!B139,0)*Assumptions!B86,0)</f>
        <v>140</v>
      </c>
      <c r="P28" s="18" t="n">
        <f aca="false">K28+L28+M28+N28+O28+X28</f>
        <v>426</v>
      </c>
      <c r="Q28" s="18" t="n">
        <f aca="false">I28-P28</f>
        <v>1674</v>
      </c>
      <c r="R28" s="6" t="n">
        <f aca="false">ROUND(B28*Assumptions!B51*Assumptions!B52,0)</f>
        <v>4208</v>
      </c>
      <c r="S28" s="18" t="n">
        <f aca="false">I28+R28+W28</f>
        <v>6777</v>
      </c>
      <c r="T28" s="18" t="n">
        <f aca="false">IF(U28&lt;P28*3,0,IF(U28&lt;P28*6,ROUND((Q28+R28+W28)*0.75*Assumptions!B113,0),ROUND((Q28+R28+W28)*0.75*Assumptions!B114,0)))</f>
        <v>1820</v>
      </c>
      <c r="U28" s="18" t="n">
        <f aca="false">U27+Q28+R28+W28</f>
        <v>46287</v>
      </c>
      <c r="V28" s="19" t="str">
        <f aca="false">IF(B28&gt;=Assumptions!B107,"Signal 6",IF(B28&gt;=Assumptions!B106,"Signal 5",IF(B28&gt;=Assumptions!B105,"Signal 4",IF(B28&gt;=Assumptions!B104,"Signal 3",IF(B28&gt;=Assumptions!B103,"Signal 2",IF(B28&gt;=Assumptions!B102,"Signal 1","Pre-Signal 1"))))))</f>
        <v>Signal 1</v>
      </c>
      <c r="W28" s="6" t="n">
        <f aca="false">ROUND(B28*Assumptions!B137*Assumptions!B138*Assumptions!B139*Assumptions!B136,0)</f>
        <v>469</v>
      </c>
      <c r="X28" s="6" t="n">
        <f aca="false">ROUND(B28*Assumptions!B137*Assumptions!B65,0)</f>
        <v>77</v>
      </c>
    </row>
    <row r="29" customFormat="false" ht="15" hidden="false" customHeight="false" outlineLevel="0" collapsed="false">
      <c r="A29" s="20" t="n">
        <v>24</v>
      </c>
      <c r="B29" s="8" t="n">
        <f aca="false">B28*(1+Assumptions!B34)</f>
        <v>13465.6122404657</v>
      </c>
      <c r="C29" s="8" t="n">
        <f aca="false">ROUND(B29*Assumptions!B25,0)</f>
        <v>269</v>
      </c>
      <c r="D29" s="8" t="n">
        <f aca="false">ROUND(B29*Assumptions!B23,0)</f>
        <v>34</v>
      </c>
      <c r="E29" s="20" t="n">
        <f aca="false">E28+D29-F29</f>
        <v>206</v>
      </c>
      <c r="F29" s="8" t="n">
        <f aca="false">ROUND(E28*Assumptions!B44,0)</f>
        <v>11</v>
      </c>
      <c r="G29" s="20" t="n">
        <f aca="false">D29-F29</f>
        <v>23</v>
      </c>
      <c r="H29" s="20" t="n">
        <f aca="false">ROUND(E29*(Assumptions!B15*0.85+Assumptions!B11*0.15),0)</f>
        <v>2364</v>
      </c>
      <c r="I29" s="20" t="n">
        <f aca="false">H29</f>
        <v>2364</v>
      </c>
      <c r="J29" s="8" t="n">
        <f aca="false">ROUND(E29*Assumptions!B68,0)</f>
        <v>721</v>
      </c>
      <c r="K29" s="8" t="n">
        <f aca="false">ROUND(J29*Assumptions!B65,0)</f>
        <v>58</v>
      </c>
      <c r="L29" s="8" t="n">
        <f aca="false">Assumptions!B70+IF(E29&gt;Assumptions!B72,45,0)</f>
        <v>31</v>
      </c>
      <c r="M29" s="8" t="n">
        <f aca="false">Assumptions!B76+Assumptions!B77</f>
        <v>35</v>
      </c>
      <c r="N29" s="8" t="n">
        <f aca="false">Assumptions!B81+Assumptions!B82+Assumptions!B87/12+Assumptions!B84</f>
        <v>92</v>
      </c>
      <c r="O29" s="8" t="n">
        <f aca="false">ROUND(I29*Assumptions!B85+E29*Assumptions!B86+W29*Assumptions!B85+ROUND(B29*Assumptions!B137*Assumptions!B138*Assumptions!B139,0)*Assumptions!B86,0)</f>
        <v>158</v>
      </c>
      <c r="P29" s="20" t="n">
        <f aca="false">K29+L29+M29+N29+O29+X29</f>
        <v>460</v>
      </c>
      <c r="Q29" s="20" t="n">
        <f aca="false">I29-P29</f>
        <v>1904</v>
      </c>
      <c r="R29" s="8" t="n">
        <f aca="false">ROUND(B29*Assumptions!B51*Assumptions!B52,0)</f>
        <v>4713</v>
      </c>
      <c r="S29" s="20" t="n">
        <f aca="false">I29+R29+W29</f>
        <v>7602</v>
      </c>
      <c r="T29" s="20" t="n">
        <f aca="false">IF(U29&lt;P29*3,0,IF(U29&lt;P29*6,ROUND((Q29+R29+W29)*0.75*Assumptions!B113,0),ROUND((Q29+R29+W29)*0.75*Assumptions!B114,0)))</f>
        <v>2046</v>
      </c>
      <c r="U29" s="20" t="n">
        <f aca="false">U28+Q29+R29+W29</f>
        <v>53429</v>
      </c>
      <c r="V29" s="21" t="str">
        <f aca="false">IF(B29&gt;=Assumptions!B107,"Signal 6",IF(B29&gt;=Assumptions!B106,"Signal 5",IF(B29&gt;=Assumptions!B105,"Signal 4",IF(B29&gt;=Assumptions!B104,"Signal 3",IF(B29&gt;=Assumptions!B103,"Signal 2",IF(B29&gt;=Assumptions!B102,"Signal 1","Pre-Signal 1"))))))</f>
        <v>Signal 1</v>
      </c>
      <c r="W29" s="8" t="n">
        <f aca="false">ROUND(B29*Assumptions!B137*Assumptions!B138*Assumptions!B139*Assumptions!B136,0)</f>
        <v>525</v>
      </c>
      <c r="X29" s="8" t="n">
        <f aca="false">ROUND(B29*Assumptions!B137*Assumptions!B65,0)</f>
        <v>86</v>
      </c>
    </row>
    <row r="30" customFormat="false" ht="15" hidden="false" customHeight="false" outlineLevel="0" collapsed="false">
      <c r="A30" s="18" t="n">
        <v>25</v>
      </c>
      <c r="B30" s="6" t="n">
        <f aca="false">B29*(1+Assumptions!B34)</f>
        <v>15081.4857093216</v>
      </c>
      <c r="C30" s="6" t="n">
        <f aca="false">ROUND(B30*Assumptions!B25,0)</f>
        <v>302</v>
      </c>
      <c r="D30" s="6" t="n">
        <f aca="false">ROUND(B30*Assumptions!B23,0)</f>
        <v>38</v>
      </c>
      <c r="E30" s="18" t="n">
        <f aca="false">E29+D30-F30</f>
        <v>232</v>
      </c>
      <c r="F30" s="6" t="n">
        <f aca="false">ROUND(E29*Assumptions!B44,0)</f>
        <v>12</v>
      </c>
      <c r="G30" s="18" t="n">
        <f aca="false">D30-F30</f>
        <v>26</v>
      </c>
      <c r="H30" s="18" t="n">
        <f aca="false">ROUND(E30*(Assumptions!B15*0.85+Assumptions!B11*0.15),0)</f>
        <v>2662</v>
      </c>
      <c r="I30" s="18" t="n">
        <f aca="false">H30</f>
        <v>2662</v>
      </c>
      <c r="J30" s="6" t="n">
        <f aca="false">ROUND(E30*Assumptions!B68,0)</f>
        <v>812</v>
      </c>
      <c r="K30" s="6" t="n">
        <f aca="false">ROUND(J30*Assumptions!B65,0)</f>
        <v>65</v>
      </c>
      <c r="L30" s="6" t="n">
        <f aca="false">Assumptions!B70+IF(E30&gt;Assumptions!B72,45,0)</f>
        <v>31</v>
      </c>
      <c r="M30" s="6" t="n">
        <f aca="false">Assumptions!B76+Assumptions!B77</f>
        <v>35</v>
      </c>
      <c r="N30" s="6" t="n">
        <f aca="false">Assumptions!B81+Assumptions!B82+Assumptions!B87/12+Assumptions!B84</f>
        <v>92</v>
      </c>
      <c r="O30" s="6" t="n">
        <f aca="false">ROUND(I30*Assumptions!B85+E30*Assumptions!B86+W30*Assumptions!B85+ROUND(B30*Assumptions!B137*Assumptions!B138*Assumptions!B139,0)*Assumptions!B86,0)</f>
        <v>177</v>
      </c>
      <c r="P30" s="18" t="n">
        <f aca="false">K30+L30+M30+N30+O30+X30</f>
        <v>497</v>
      </c>
      <c r="Q30" s="18" t="n">
        <f aca="false">I30-P30</f>
        <v>2165</v>
      </c>
      <c r="R30" s="6" t="n">
        <f aca="false">ROUND(B30*Assumptions!B51*Assumptions!B52,0)</f>
        <v>5279</v>
      </c>
      <c r="S30" s="18" t="n">
        <f aca="false">I30+R30+W30</f>
        <v>8529</v>
      </c>
      <c r="T30" s="18" t="n">
        <f aca="false">IF(U30&lt;P30*3,0,IF(U30&lt;P30*6,ROUND((Q30+R30+W30)*0.75*Assumptions!B113,0),ROUND((Q30+R30+W30)*0.75*Assumptions!B114,0)))</f>
        <v>2301</v>
      </c>
      <c r="U30" s="18" t="n">
        <f aca="false">U29+Q30+R30+W30</f>
        <v>61461</v>
      </c>
      <c r="V30" s="19" t="str">
        <f aca="false">IF(B30&gt;=Assumptions!B107,"Signal 6",IF(B30&gt;=Assumptions!B106,"Signal 5",IF(B30&gt;=Assumptions!B105,"Signal 4",IF(B30&gt;=Assumptions!B104,"Signal 3",IF(B30&gt;=Assumptions!B103,"Signal 2",IF(B30&gt;=Assumptions!B102,"Signal 1","Pre-Signal 1"))))))</f>
        <v>Signal 1</v>
      </c>
      <c r="W30" s="6" t="n">
        <f aca="false">ROUND(B30*Assumptions!B137*Assumptions!B138*Assumptions!B139*Assumptions!B136,0)</f>
        <v>588</v>
      </c>
      <c r="X30" s="6" t="n">
        <f aca="false">ROUND(B30*Assumptions!B137*Assumptions!B65,0)</f>
        <v>97</v>
      </c>
    </row>
    <row r="31" customFormat="false" ht="15" hidden="false" customHeight="false" outlineLevel="0" collapsed="false">
      <c r="A31" s="20" t="n">
        <v>26</v>
      </c>
      <c r="B31" s="8" t="n">
        <f aca="false">B30*(1+Assumptions!B34)</f>
        <v>16891.2639944402</v>
      </c>
      <c r="C31" s="8" t="n">
        <f aca="false">ROUND(B31*Assumptions!B25,0)</f>
        <v>338</v>
      </c>
      <c r="D31" s="8" t="n">
        <f aca="false">ROUND(B31*Assumptions!B23,0)</f>
        <v>42</v>
      </c>
      <c r="E31" s="20" t="n">
        <f aca="false">E30+D31-F31</f>
        <v>260</v>
      </c>
      <c r="F31" s="8" t="n">
        <f aca="false">ROUND(E30*Assumptions!B44,0)</f>
        <v>14</v>
      </c>
      <c r="G31" s="20" t="n">
        <f aca="false">D31-F31</f>
        <v>28</v>
      </c>
      <c r="H31" s="20" t="n">
        <f aca="false">ROUND(E31*(Assumptions!B15*0.85+Assumptions!B11*0.15),0)</f>
        <v>2984</v>
      </c>
      <c r="I31" s="20" t="n">
        <f aca="false">H31</f>
        <v>2984</v>
      </c>
      <c r="J31" s="8" t="n">
        <f aca="false">ROUND(E31*Assumptions!B68,0)</f>
        <v>910</v>
      </c>
      <c r="K31" s="8" t="n">
        <f aca="false">ROUND(J31*Assumptions!B65,0)</f>
        <v>73</v>
      </c>
      <c r="L31" s="8" t="n">
        <f aca="false">Assumptions!B70+IF(E31&gt;Assumptions!B72,45,0)</f>
        <v>31</v>
      </c>
      <c r="M31" s="8" t="n">
        <f aca="false">Assumptions!B76+Assumptions!B77</f>
        <v>35</v>
      </c>
      <c r="N31" s="8" t="n">
        <f aca="false">Assumptions!B81+Assumptions!B82+Assumptions!B87/12+Assumptions!B84</f>
        <v>92</v>
      </c>
      <c r="O31" s="8" t="n">
        <f aca="false">ROUND(I31*Assumptions!B85+E31*Assumptions!B86+W31*Assumptions!B85+ROUND(B31*Assumptions!B137*Assumptions!B138*Assumptions!B139,0)*Assumptions!B86,0)</f>
        <v>199</v>
      </c>
      <c r="P31" s="20" t="n">
        <f aca="false">K31+L31+M31+N31+O31+X31</f>
        <v>538</v>
      </c>
      <c r="Q31" s="20" t="n">
        <f aca="false">I31-P31</f>
        <v>2446</v>
      </c>
      <c r="R31" s="8" t="n">
        <f aca="false">ROUND(B31*Assumptions!B51*Assumptions!B52,0)</f>
        <v>5912</v>
      </c>
      <c r="S31" s="20" t="n">
        <f aca="false">I31+R31+W31</f>
        <v>9555</v>
      </c>
      <c r="T31" s="20" t="n">
        <f aca="false">IF(U31&lt;P31*3,0,IF(U31&lt;P31*6,ROUND((Q31+R31+W31)*0.75*Assumptions!B113,0),ROUND((Q31+R31+W31)*0.75*Assumptions!B114,0)))</f>
        <v>2583</v>
      </c>
      <c r="U31" s="20" t="n">
        <f aca="false">U30+Q31+R31+W31</f>
        <v>70478</v>
      </c>
      <c r="V31" s="21" t="str">
        <f aca="false">IF(B31&gt;=Assumptions!B107,"Signal 6",IF(B31&gt;=Assumptions!B106,"Signal 5",IF(B31&gt;=Assumptions!B105,"Signal 4",IF(B31&gt;=Assumptions!B104,"Signal 3",IF(B31&gt;=Assumptions!B103,"Signal 2",IF(B31&gt;=Assumptions!B102,"Signal 1","Pre-Signal 1"))))))</f>
        <v>Signal 1</v>
      </c>
      <c r="W31" s="8" t="n">
        <f aca="false">ROUND(B31*Assumptions!B137*Assumptions!B138*Assumptions!B139*Assumptions!B136,0)</f>
        <v>659</v>
      </c>
      <c r="X31" s="8" t="n">
        <f aca="false">ROUND(B31*Assumptions!B137*Assumptions!B65,0)</f>
        <v>108</v>
      </c>
    </row>
    <row r="32" customFormat="false" ht="15" hidden="false" customHeight="false" outlineLevel="0" collapsed="false">
      <c r="A32" s="18" t="n">
        <v>27</v>
      </c>
      <c r="B32" s="6" t="n">
        <f aca="false">B31*(1+Assumptions!B34)</f>
        <v>18918.215673773</v>
      </c>
      <c r="C32" s="6" t="n">
        <f aca="false">ROUND(B32*Assumptions!B25,0)</f>
        <v>378</v>
      </c>
      <c r="D32" s="6" t="n">
        <f aca="false">ROUND(B32*Assumptions!B23,0)</f>
        <v>47</v>
      </c>
      <c r="E32" s="18" t="n">
        <f aca="false">E31+D32-F32</f>
        <v>291</v>
      </c>
      <c r="F32" s="6" t="n">
        <f aca="false">ROUND(E31*Assumptions!B44,0)</f>
        <v>16</v>
      </c>
      <c r="G32" s="18" t="n">
        <f aca="false">D32-F32</f>
        <v>31</v>
      </c>
      <c r="H32" s="18" t="n">
        <f aca="false">ROUND(E32*(Assumptions!B15*0.85+Assumptions!B11*0.15),0)</f>
        <v>3339</v>
      </c>
      <c r="I32" s="18" t="n">
        <f aca="false">H32</f>
        <v>3339</v>
      </c>
      <c r="J32" s="6" t="n">
        <f aca="false">ROUND(E32*Assumptions!B68,0)</f>
        <v>1019</v>
      </c>
      <c r="K32" s="6" t="n">
        <f aca="false">ROUND(J32*Assumptions!B65,0)</f>
        <v>82</v>
      </c>
      <c r="L32" s="6" t="n">
        <f aca="false">Assumptions!B70+IF(E32&gt;Assumptions!B72,45,0)</f>
        <v>31</v>
      </c>
      <c r="M32" s="6" t="n">
        <f aca="false">Assumptions!B76+Assumptions!B77</f>
        <v>35</v>
      </c>
      <c r="N32" s="6" t="n">
        <f aca="false">Assumptions!B81+Assumptions!B82+Assumptions!B87/12+Assumptions!B84</f>
        <v>92</v>
      </c>
      <c r="O32" s="6" t="n">
        <f aca="false">ROUND(I32*Assumptions!B85+E32*Assumptions!B86+W32*Assumptions!B85+ROUND(B32*Assumptions!B137*Assumptions!B138*Assumptions!B139,0)*Assumptions!B86,0)</f>
        <v>223</v>
      </c>
      <c r="P32" s="18" t="n">
        <f aca="false">K32+L32+M32+N32+O32+X32</f>
        <v>584</v>
      </c>
      <c r="Q32" s="18" t="n">
        <f aca="false">I32-P32</f>
        <v>2755</v>
      </c>
      <c r="R32" s="6" t="n">
        <f aca="false">ROUND(B32*Assumptions!B51*Assumptions!B52,0)</f>
        <v>6621</v>
      </c>
      <c r="S32" s="18" t="n">
        <f aca="false">I32+R32+W32</f>
        <v>10698</v>
      </c>
      <c r="T32" s="18" t="n">
        <f aca="false">IF(U32&lt;P32*3,0,IF(U32&lt;P32*6,ROUND((Q32+R32+W32)*0.75*Assumptions!B113,0),ROUND((Q32+R32+W32)*0.75*Assumptions!B114,0)))</f>
        <v>2898</v>
      </c>
      <c r="U32" s="18" t="n">
        <f aca="false">U31+Q32+R32+W32</f>
        <v>80592</v>
      </c>
      <c r="V32" s="19" t="str">
        <f aca="false">IF(B32&gt;=Assumptions!B107,"Signal 6",IF(B32&gt;=Assumptions!B106,"Signal 5",IF(B32&gt;=Assumptions!B105,"Signal 4",IF(B32&gt;=Assumptions!B104,"Signal 3",IF(B32&gt;=Assumptions!B103,"Signal 2",IF(B32&gt;=Assumptions!B102,"Signal 1","Pre-Signal 1"))))))</f>
        <v>Signal 1</v>
      </c>
      <c r="W32" s="6" t="n">
        <f aca="false">ROUND(B32*Assumptions!B137*Assumptions!B138*Assumptions!B139*Assumptions!B136,0)</f>
        <v>738</v>
      </c>
      <c r="X32" s="6" t="n">
        <f aca="false">ROUND(B32*Assumptions!B137*Assumptions!B65,0)</f>
        <v>121</v>
      </c>
    </row>
    <row r="33" customFormat="false" ht="15" hidden="false" customHeight="false" outlineLevel="0" collapsed="false">
      <c r="A33" s="20" t="n">
        <v>28</v>
      </c>
      <c r="B33" s="8" t="n">
        <f aca="false">B32*(1+Assumptions!B34)</f>
        <v>21188.4015546258</v>
      </c>
      <c r="C33" s="8" t="n">
        <f aca="false">ROUND(B33*Assumptions!B25,0)</f>
        <v>424</v>
      </c>
      <c r="D33" s="8" t="n">
        <f aca="false">ROUND(B33*Assumptions!B23,0)</f>
        <v>53</v>
      </c>
      <c r="E33" s="20" t="n">
        <f aca="false">E32+D33-F33</f>
        <v>327</v>
      </c>
      <c r="F33" s="8" t="n">
        <f aca="false">ROUND(E32*Assumptions!B44,0)</f>
        <v>17</v>
      </c>
      <c r="G33" s="20" t="n">
        <f aca="false">D33-F33</f>
        <v>36</v>
      </c>
      <c r="H33" s="20" t="n">
        <f aca="false">ROUND(E33*(Assumptions!B15*0.85+Assumptions!B11*0.15),0)</f>
        <v>3752</v>
      </c>
      <c r="I33" s="20" t="n">
        <f aca="false">H33</f>
        <v>3752</v>
      </c>
      <c r="J33" s="8" t="n">
        <f aca="false">ROUND(E33*Assumptions!B68,0)</f>
        <v>1145</v>
      </c>
      <c r="K33" s="8" t="n">
        <f aca="false">ROUND(J33*Assumptions!B65,0)</f>
        <v>92</v>
      </c>
      <c r="L33" s="8" t="n">
        <f aca="false">Assumptions!B70+IF(E33&gt;Assumptions!B72,45,0)</f>
        <v>31</v>
      </c>
      <c r="M33" s="8" t="n">
        <f aca="false">Assumptions!B76+Assumptions!B77</f>
        <v>35</v>
      </c>
      <c r="N33" s="8" t="n">
        <f aca="false">Assumptions!B81+Assumptions!B82+Assumptions!B87/12+Assumptions!B84</f>
        <v>92</v>
      </c>
      <c r="O33" s="8" t="n">
        <f aca="false">ROUND(I33*Assumptions!B85+E33*Assumptions!B86+W33*Assumptions!B85+ROUND(B33*Assumptions!B137*Assumptions!B138*Assumptions!B139,0)*Assumptions!B86,0)</f>
        <v>250</v>
      </c>
      <c r="P33" s="20" t="n">
        <f aca="false">K33+L33+M33+N33+O33+X33</f>
        <v>636</v>
      </c>
      <c r="Q33" s="20" t="n">
        <f aca="false">I33-P33</f>
        <v>3116</v>
      </c>
      <c r="R33" s="8" t="n">
        <f aca="false">ROUND(B33*Assumptions!B51*Assumptions!B52,0)</f>
        <v>7416</v>
      </c>
      <c r="S33" s="20" t="n">
        <f aca="false">I33+R33+W33</f>
        <v>11994</v>
      </c>
      <c r="T33" s="20" t="n">
        <f aca="false">IF(U33&lt;P33*3,0,IF(U33&lt;P33*6,ROUND((Q33+R33+W33)*0.75*Assumptions!B113,0),ROUND((Q33+R33+W33)*0.75*Assumptions!B114,0)))</f>
        <v>3254</v>
      </c>
      <c r="U33" s="20" t="n">
        <f aca="false">U32+Q33+R33+W33</f>
        <v>91950</v>
      </c>
      <c r="V33" s="21" t="str">
        <f aca="false">IF(B33&gt;=Assumptions!B107,"Signal 6",IF(B33&gt;=Assumptions!B106,"Signal 5",IF(B33&gt;=Assumptions!B105,"Signal 4",IF(B33&gt;=Assumptions!B104,"Signal 3",IF(B33&gt;=Assumptions!B103,"Signal 2",IF(B33&gt;=Assumptions!B102,"Signal 1","Pre-Signal 1"))))))</f>
        <v>Signal 1</v>
      </c>
      <c r="W33" s="8" t="n">
        <f aca="false">ROUND(B33*Assumptions!B137*Assumptions!B138*Assumptions!B139*Assumptions!B136,0)</f>
        <v>826</v>
      </c>
      <c r="X33" s="8" t="n">
        <f aca="false">ROUND(B33*Assumptions!B137*Assumptions!B65,0)</f>
        <v>136</v>
      </c>
    </row>
    <row r="34" customFormat="false" ht="15" hidden="false" customHeight="false" outlineLevel="0" collapsed="false">
      <c r="A34" s="18" t="n">
        <v>29</v>
      </c>
      <c r="B34" s="6" t="n">
        <f aca="false">B33*(1+Assumptions!B34)</f>
        <v>23731.0097411809</v>
      </c>
      <c r="C34" s="6" t="n">
        <f aca="false">ROUND(B34*Assumptions!B25,0)</f>
        <v>475</v>
      </c>
      <c r="D34" s="6" t="n">
        <f aca="false">ROUND(B34*Assumptions!B23,0)</f>
        <v>59</v>
      </c>
      <c r="E34" s="18" t="n">
        <f aca="false">E33+D34-F34</f>
        <v>366</v>
      </c>
      <c r="F34" s="6" t="n">
        <f aca="false">ROUND(E33*Assumptions!B44,0)</f>
        <v>20</v>
      </c>
      <c r="G34" s="18" t="n">
        <f aca="false">D34-F34</f>
        <v>39</v>
      </c>
      <c r="H34" s="18" t="n">
        <f aca="false">ROUND(E34*(Assumptions!B15*0.85+Assumptions!B11*0.15),0)</f>
        <v>4200</v>
      </c>
      <c r="I34" s="18" t="n">
        <f aca="false">H34</f>
        <v>4200</v>
      </c>
      <c r="J34" s="6" t="n">
        <f aca="false">ROUND(E34*Assumptions!B68,0)</f>
        <v>1281</v>
      </c>
      <c r="K34" s="6" t="n">
        <f aca="false">ROUND(J34*Assumptions!B65,0)</f>
        <v>102</v>
      </c>
      <c r="L34" s="6" t="n">
        <f aca="false">Assumptions!B70+IF(E34&gt;Assumptions!B72,45,0)</f>
        <v>31</v>
      </c>
      <c r="M34" s="6" t="n">
        <f aca="false">Assumptions!B76+Assumptions!B77</f>
        <v>35</v>
      </c>
      <c r="N34" s="6" t="n">
        <f aca="false">Assumptions!B81+Assumptions!B82+Assumptions!B87/12+Assumptions!B84</f>
        <v>92</v>
      </c>
      <c r="O34" s="6" t="n">
        <f aca="false">ROUND(I34*Assumptions!B85+E34*Assumptions!B86+W34*Assumptions!B85+ROUND(B34*Assumptions!B137*Assumptions!B138*Assumptions!B139,0)*Assumptions!B86,0)</f>
        <v>280</v>
      </c>
      <c r="P34" s="18" t="n">
        <f aca="false">K34+L34+M34+N34+O34+X34</f>
        <v>692</v>
      </c>
      <c r="Q34" s="18" t="n">
        <f aca="false">I34-P34</f>
        <v>3508</v>
      </c>
      <c r="R34" s="6" t="n">
        <f aca="false">ROUND(B34*Assumptions!B51*Assumptions!B52,0)</f>
        <v>8306</v>
      </c>
      <c r="S34" s="18" t="n">
        <f aca="false">I34+R34+W34</f>
        <v>13432</v>
      </c>
      <c r="T34" s="18" t="n">
        <f aca="false">IF(U34&lt;P34*3,0,IF(U34&lt;P34*6,ROUND((Q34+R34+W34)*0.75*Assumptions!B113,0),ROUND((Q34+R34+W34)*0.75*Assumptions!B114,0)))</f>
        <v>3650</v>
      </c>
      <c r="U34" s="18" t="n">
        <f aca="false">U33+Q34+R34+W34</f>
        <v>104690</v>
      </c>
      <c r="V34" s="19" t="str">
        <f aca="false">IF(B34&gt;=Assumptions!B107,"Signal 6",IF(B34&gt;=Assumptions!B106,"Signal 5",IF(B34&gt;=Assumptions!B105,"Signal 4",IF(B34&gt;=Assumptions!B104,"Signal 3",IF(B34&gt;=Assumptions!B103,"Signal 2",IF(B34&gt;=Assumptions!B102,"Signal 1","Pre-Signal 1"))))))</f>
        <v>Signal 1</v>
      </c>
      <c r="W34" s="6" t="n">
        <f aca="false">ROUND(B34*Assumptions!B137*Assumptions!B138*Assumptions!B139*Assumptions!B136,0)</f>
        <v>926</v>
      </c>
      <c r="X34" s="6" t="n">
        <f aca="false">ROUND(B34*Assumptions!B137*Assumptions!B65,0)</f>
        <v>152</v>
      </c>
    </row>
    <row r="35" customFormat="false" ht="15" hidden="false" customHeight="false" outlineLevel="0" collapsed="false">
      <c r="A35" s="20" t="n">
        <v>30</v>
      </c>
      <c r="B35" s="8" t="n">
        <f aca="false">B34*(1+Assumptions!B34)</f>
        <v>26578.7309101226</v>
      </c>
      <c r="C35" s="8" t="n">
        <f aca="false">ROUND(B35*Assumptions!B25,0)</f>
        <v>532</v>
      </c>
      <c r="D35" s="8" t="n">
        <f aca="false">ROUND(B35*Assumptions!B23,0)</f>
        <v>66</v>
      </c>
      <c r="E35" s="20" t="n">
        <f aca="false">E34+D35-F35</f>
        <v>410</v>
      </c>
      <c r="F35" s="8" t="n">
        <f aca="false">ROUND(E34*Assumptions!B44,0)</f>
        <v>22</v>
      </c>
      <c r="G35" s="20" t="n">
        <f aca="false">D35-F35</f>
        <v>44</v>
      </c>
      <c r="H35" s="20" t="n">
        <f aca="false">ROUND(E35*(Assumptions!B15*0.85+Assumptions!B11*0.15),0)</f>
        <v>4705</v>
      </c>
      <c r="I35" s="20" t="n">
        <f aca="false">H35</f>
        <v>4705</v>
      </c>
      <c r="J35" s="8" t="n">
        <f aca="false">ROUND(E35*Assumptions!B68,0)</f>
        <v>1435</v>
      </c>
      <c r="K35" s="8" t="n">
        <f aca="false">ROUND(J35*Assumptions!B65,0)</f>
        <v>115</v>
      </c>
      <c r="L35" s="8" t="n">
        <f aca="false">Assumptions!B70+IF(E35&gt;Assumptions!B72,45,0)</f>
        <v>31</v>
      </c>
      <c r="M35" s="8" t="n">
        <f aca="false">Assumptions!B76+Assumptions!B77</f>
        <v>35</v>
      </c>
      <c r="N35" s="8" t="n">
        <f aca="false">Assumptions!B81+Assumptions!B82+Assumptions!B87/12+Assumptions!B84</f>
        <v>92</v>
      </c>
      <c r="O35" s="8" t="n">
        <f aca="false">ROUND(I35*Assumptions!B85+E35*Assumptions!B86+W35*Assumptions!B85+ROUND(B35*Assumptions!B137*Assumptions!B138*Assumptions!B139,0)*Assumptions!B86,0)</f>
        <v>314</v>
      </c>
      <c r="P35" s="20" t="n">
        <f aca="false">K35+L35+M35+N35+O35+X35</f>
        <v>757</v>
      </c>
      <c r="Q35" s="20" t="n">
        <f aca="false">I35-P35</f>
        <v>3948</v>
      </c>
      <c r="R35" s="8" t="n">
        <f aca="false">ROUND(B35*Assumptions!B51*Assumptions!B52,0)</f>
        <v>9303</v>
      </c>
      <c r="S35" s="20" t="n">
        <f aca="false">I35+R35+W35</f>
        <v>15045</v>
      </c>
      <c r="T35" s="20" t="n">
        <f aca="false">IF(U35&lt;P35*3,0,IF(U35&lt;P35*6,ROUND((Q35+R35+W35)*0.75*Assumptions!B113,0),ROUND((Q35+R35+W35)*0.75*Assumptions!B114,0)))</f>
        <v>4094</v>
      </c>
      <c r="U35" s="20" t="n">
        <f aca="false">U34+Q35+R35+W35</f>
        <v>118978</v>
      </c>
      <c r="V35" s="21" t="str">
        <f aca="false">IF(B35&gt;=Assumptions!B107,"Signal 6",IF(B35&gt;=Assumptions!B106,"Signal 5",IF(B35&gt;=Assumptions!B105,"Signal 4",IF(B35&gt;=Assumptions!B104,"Signal 3",IF(B35&gt;=Assumptions!B103,"Signal 2",IF(B35&gt;=Assumptions!B102,"Signal 1","Pre-Signal 1"))))))</f>
        <v>Signal 2</v>
      </c>
      <c r="W35" s="8" t="n">
        <f aca="false">ROUND(B35*Assumptions!B137*Assumptions!B138*Assumptions!B139*Assumptions!B136,0)</f>
        <v>1037</v>
      </c>
      <c r="X35" s="8" t="n">
        <f aca="false">ROUND(B35*Assumptions!B137*Assumptions!B65,0)</f>
        <v>170</v>
      </c>
    </row>
    <row r="36" customFormat="false" ht="15" hidden="false" customHeight="false" outlineLevel="0" collapsed="false">
      <c r="A36" s="18" t="n">
        <v>31</v>
      </c>
      <c r="B36" s="6" t="n">
        <f aca="false">B35*(1+Assumptions!B34)</f>
        <v>29768.1786193373</v>
      </c>
      <c r="C36" s="6" t="n">
        <f aca="false">ROUND(B36*Assumptions!B25,0)</f>
        <v>595</v>
      </c>
      <c r="D36" s="6" t="n">
        <f aca="false">ROUND(B36*Assumptions!B23,0)</f>
        <v>74</v>
      </c>
      <c r="E36" s="18" t="n">
        <f aca="false">E35+D36-F36</f>
        <v>459</v>
      </c>
      <c r="F36" s="6" t="n">
        <f aca="false">ROUND(E35*Assumptions!B44,0)</f>
        <v>25</v>
      </c>
      <c r="G36" s="18" t="n">
        <f aca="false">D36-F36</f>
        <v>49</v>
      </c>
      <c r="H36" s="18" t="n">
        <f aca="false">ROUND(E36*(Assumptions!B15*0.85+Assumptions!B11*0.15),0)</f>
        <v>5267</v>
      </c>
      <c r="I36" s="18" t="n">
        <f aca="false">H36</f>
        <v>5267</v>
      </c>
      <c r="J36" s="6" t="n">
        <f aca="false">ROUND(E36*Assumptions!B68,0)</f>
        <v>1607</v>
      </c>
      <c r="K36" s="6" t="n">
        <f aca="false">ROUND(J36*Assumptions!B65,0)</f>
        <v>129</v>
      </c>
      <c r="L36" s="6" t="n">
        <f aca="false">Assumptions!B70+IF(E36&gt;Assumptions!B72,45,0)</f>
        <v>31</v>
      </c>
      <c r="M36" s="6" t="n">
        <f aca="false">Assumptions!B76+Assumptions!B77</f>
        <v>35</v>
      </c>
      <c r="N36" s="6" t="n">
        <f aca="false">Assumptions!B81+Assumptions!B82+Assumptions!B87/12+Assumptions!B84</f>
        <v>92</v>
      </c>
      <c r="O36" s="6" t="n">
        <f aca="false">ROUND(I36*Assumptions!B85+E36*Assumptions!B86+W36*Assumptions!B85+ROUND(B36*Assumptions!B137*Assumptions!B138*Assumptions!B139,0)*Assumptions!B86,0)</f>
        <v>351</v>
      </c>
      <c r="P36" s="18" t="n">
        <f aca="false">K36+L36+M36+N36+O36+X36</f>
        <v>829</v>
      </c>
      <c r="Q36" s="18" t="n">
        <f aca="false">I36-P36</f>
        <v>4438</v>
      </c>
      <c r="R36" s="6" t="n">
        <f aca="false">ROUND(B36*Assumptions!B51*Assumptions!B52,0)</f>
        <v>10419</v>
      </c>
      <c r="S36" s="18" t="n">
        <f aca="false">I36+R36+W36</f>
        <v>16847</v>
      </c>
      <c r="T36" s="18" t="n">
        <f aca="false">IF(U36&lt;P36*3,0,IF(U36&lt;P36*6,ROUND((Q36+R36+W36)*0.75*Assumptions!B113,0),ROUND((Q36+R36+W36)*0.75*Assumptions!B114,0)))</f>
        <v>4589</v>
      </c>
      <c r="U36" s="18" t="n">
        <f aca="false">U35+Q36+R36+W36</f>
        <v>134996</v>
      </c>
      <c r="V36" s="19" t="str">
        <f aca="false">IF(B36&gt;=Assumptions!B107,"Signal 6",IF(B36&gt;=Assumptions!B106,"Signal 5",IF(B36&gt;=Assumptions!B105,"Signal 4",IF(B36&gt;=Assumptions!B104,"Signal 3",IF(B36&gt;=Assumptions!B103,"Signal 2",IF(B36&gt;=Assumptions!B102,"Signal 1","Pre-Signal 1"))))))</f>
        <v>Signal 2</v>
      </c>
      <c r="W36" s="6" t="n">
        <f aca="false">ROUND(B36*Assumptions!B137*Assumptions!B138*Assumptions!B139*Assumptions!B136,0)</f>
        <v>1161</v>
      </c>
      <c r="X36" s="6" t="n">
        <f aca="false">ROUND(B36*Assumptions!B137*Assumptions!B65,0)</f>
        <v>191</v>
      </c>
    </row>
    <row r="37" customFormat="false" ht="15" hidden="false" customHeight="false" outlineLevel="0" collapsed="false">
      <c r="A37" s="20" t="n">
        <v>32</v>
      </c>
      <c r="B37" s="8" t="n">
        <f aca="false">B36*(1+Assumptions!B34)</f>
        <v>33340.3600536578</v>
      </c>
      <c r="C37" s="8" t="n">
        <f aca="false">ROUND(B37*Assumptions!B25,0)</f>
        <v>667</v>
      </c>
      <c r="D37" s="8" t="n">
        <f aca="false">ROUND(B37*Assumptions!B23,0)</f>
        <v>83</v>
      </c>
      <c r="E37" s="20" t="n">
        <f aca="false">E36+D37-F37</f>
        <v>514</v>
      </c>
      <c r="F37" s="8" t="n">
        <f aca="false">ROUND(E36*Assumptions!B44,0)</f>
        <v>28</v>
      </c>
      <c r="G37" s="20" t="n">
        <f aca="false">D37-F37</f>
        <v>55</v>
      </c>
      <c r="H37" s="20" t="n">
        <f aca="false">ROUND(E37*(Assumptions!B15*0.85+Assumptions!B11*0.15),0)</f>
        <v>5898</v>
      </c>
      <c r="I37" s="20" t="n">
        <f aca="false">H37</f>
        <v>5898</v>
      </c>
      <c r="J37" s="8" t="n">
        <f aca="false">ROUND(E37*Assumptions!B68,0)</f>
        <v>1799</v>
      </c>
      <c r="K37" s="8" t="n">
        <f aca="false">ROUND(J37*Assumptions!B65,0)</f>
        <v>144</v>
      </c>
      <c r="L37" s="8" t="n">
        <f aca="false">Assumptions!B70+IF(E37&gt;Assumptions!B72,45,0)</f>
        <v>76</v>
      </c>
      <c r="M37" s="8" t="n">
        <f aca="false">Assumptions!B76+Assumptions!B77</f>
        <v>35</v>
      </c>
      <c r="N37" s="8" t="n">
        <f aca="false">Assumptions!B81+Assumptions!B82+Assumptions!B87/12+Assumptions!B84</f>
        <v>92</v>
      </c>
      <c r="O37" s="8" t="n">
        <f aca="false">ROUND(I37*Assumptions!B85+E37*Assumptions!B86+W37*Assumptions!B85+ROUND(B37*Assumptions!B137*Assumptions!B138*Assumptions!B139,0)*Assumptions!B86,0)</f>
        <v>393</v>
      </c>
      <c r="P37" s="20" t="n">
        <f aca="false">K37+L37+M37+N37+O37+X37</f>
        <v>953</v>
      </c>
      <c r="Q37" s="20" t="n">
        <f aca="false">I37-P37</f>
        <v>4945</v>
      </c>
      <c r="R37" s="8" t="n">
        <f aca="false">ROUND(B37*Assumptions!B51*Assumptions!B52,0)</f>
        <v>11669</v>
      </c>
      <c r="S37" s="20" t="n">
        <f aca="false">I37+R37+W37</f>
        <v>18867</v>
      </c>
      <c r="T37" s="20" t="n">
        <f aca="false">IF(U37&lt;P37*3,0,IF(U37&lt;P37*6,ROUND((Q37+R37+W37)*0.75*Assumptions!B113,0),ROUND((Q37+R37+W37)*0.75*Assumptions!B114,0)))</f>
        <v>5132</v>
      </c>
      <c r="U37" s="20" t="n">
        <f aca="false">U36+Q37+R37+W37</f>
        <v>152910</v>
      </c>
      <c r="V37" s="21" t="str">
        <f aca="false">IF(B37&gt;=Assumptions!B107,"Signal 6",IF(B37&gt;=Assumptions!B106,"Signal 5",IF(B37&gt;=Assumptions!B105,"Signal 4",IF(B37&gt;=Assumptions!B104,"Signal 3",IF(B37&gt;=Assumptions!B103,"Signal 2",IF(B37&gt;=Assumptions!B102,"Signal 1","Pre-Signal 1"))))))</f>
        <v>Signal 2</v>
      </c>
      <c r="W37" s="8" t="n">
        <f aca="false">ROUND(B37*Assumptions!B137*Assumptions!B138*Assumptions!B139*Assumptions!B136,0)</f>
        <v>1300</v>
      </c>
      <c r="X37" s="8" t="n">
        <f aca="false">ROUND(B37*Assumptions!B137*Assumptions!B65,0)</f>
        <v>213</v>
      </c>
    </row>
    <row r="38" customFormat="false" ht="15" hidden="false" customHeight="false" outlineLevel="0" collapsed="false">
      <c r="A38" s="18" t="n">
        <v>33</v>
      </c>
      <c r="B38" s="6" t="n">
        <f aca="false">B37*(1+Assumptions!B34)</f>
        <v>37341.2032600968</v>
      </c>
      <c r="C38" s="6" t="n">
        <f aca="false">ROUND(B38*Assumptions!B25,0)</f>
        <v>747</v>
      </c>
      <c r="D38" s="6" t="n">
        <f aca="false">ROUND(B38*Assumptions!B23,0)</f>
        <v>93</v>
      </c>
      <c r="E38" s="18" t="n">
        <f aca="false">E37+D38-F38</f>
        <v>576</v>
      </c>
      <c r="F38" s="6" t="n">
        <f aca="false">ROUND(E37*Assumptions!B44,0)</f>
        <v>31</v>
      </c>
      <c r="G38" s="18" t="n">
        <f aca="false">D38-F38</f>
        <v>62</v>
      </c>
      <c r="H38" s="18" t="n">
        <f aca="false">ROUND(E38*(Assumptions!B15*0.85+Assumptions!B11*0.15),0)</f>
        <v>6610</v>
      </c>
      <c r="I38" s="18" t="n">
        <f aca="false">H38</f>
        <v>6610</v>
      </c>
      <c r="J38" s="6" t="n">
        <f aca="false">ROUND(E38*Assumptions!B68,0)</f>
        <v>2016</v>
      </c>
      <c r="K38" s="6" t="n">
        <f aca="false">ROUND(J38*Assumptions!B65,0)</f>
        <v>161</v>
      </c>
      <c r="L38" s="6" t="n">
        <f aca="false">Assumptions!B70+IF(E38&gt;Assumptions!B72,45,0)</f>
        <v>76</v>
      </c>
      <c r="M38" s="6" t="n">
        <f aca="false">Assumptions!B76+Assumptions!B77</f>
        <v>35</v>
      </c>
      <c r="N38" s="6" t="n">
        <f aca="false">Assumptions!B81+Assumptions!B82+Assumptions!B87/12+Assumptions!B84</f>
        <v>92</v>
      </c>
      <c r="O38" s="6" t="n">
        <f aca="false">ROUND(I38*Assumptions!B85+E38*Assumptions!B86+W38*Assumptions!B85+ROUND(B38*Assumptions!B137*Assumptions!B138*Assumptions!B139,0)*Assumptions!B86,0)</f>
        <v>440</v>
      </c>
      <c r="P38" s="18" t="n">
        <f aca="false">K38+L38+M38+N38+O38+X38</f>
        <v>1043</v>
      </c>
      <c r="Q38" s="18" t="n">
        <f aca="false">I38-P38</f>
        <v>5567</v>
      </c>
      <c r="R38" s="6" t="n">
        <f aca="false">ROUND(B38*Assumptions!B51*Assumptions!B52,0)</f>
        <v>13069</v>
      </c>
      <c r="S38" s="18" t="n">
        <f aca="false">I38+R38+W38</f>
        <v>21135</v>
      </c>
      <c r="T38" s="18" t="n">
        <f aca="false">IF(U38&lt;P38*3,0,IF(U38&lt;P38*6,ROUND((Q38+R38+W38)*0.75*Assumptions!B113,0),ROUND((Q38+R38+W38)*0.75*Assumptions!B114,0)))</f>
        <v>5756</v>
      </c>
      <c r="U38" s="18" t="n">
        <f aca="false">U37+Q38+R38+W38</f>
        <v>173002</v>
      </c>
      <c r="V38" s="19" t="str">
        <f aca="false">IF(B38&gt;=Assumptions!B107,"Signal 6",IF(B38&gt;=Assumptions!B106,"Signal 5",IF(B38&gt;=Assumptions!B105,"Signal 4",IF(B38&gt;=Assumptions!B104,"Signal 3",IF(B38&gt;=Assumptions!B103,"Signal 2",IF(B38&gt;=Assumptions!B102,"Signal 1","Pre-Signal 1"))))))</f>
        <v>Signal 2</v>
      </c>
      <c r="W38" s="6" t="n">
        <f aca="false">ROUND(B38*Assumptions!B137*Assumptions!B138*Assumptions!B139*Assumptions!B136,0)</f>
        <v>1456</v>
      </c>
      <c r="X38" s="6" t="n">
        <f aca="false">ROUND(B38*Assumptions!B137*Assumptions!B65,0)</f>
        <v>239</v>
      </c>
    </row>
    <row r="39" customFormat="false" ht="15" hidden="false" customHeight="false" outlineLevel="0" collapsed="false">
      <c r="A39" s="20" t="n">
        <v>34</v>
      </c>
      <c r="B39" s="8" t="n">
        <f aca="false">B38*(1+Assumptions!B34)</f>
        <v>41822.1476513084</v>
      </c>
      <c r="C39" s="8" t="n">
        <f aca="false">ROUND(B39*Assumptions!B25,0)</f>
        <v>836</v>
      </c>
      <c r="D39" s="8" t="n">
        <f aca="false">ROUND(B39*Assumptions!B23,0)</f>
        <v>105</v>
      </c>
      <c r="E39" s="20" t="n">
        <f aca="false">E38+D39-F39</f>
        <v>646</v>
      </c>
      <c r="F39" s="8" t="n">
        <f aca="false">ROUND(E38*Assumptions!B44,0)</f>
        <v>35</v>
      </c>
      <c r="G39" s="20" t="n">
        <f aca="false">D39-F39</f>
        <v>70</v>
      </c>
      <c r="H39" s="20" t="n">
        <f aca="false">ROUND(E39*(Assumptions!B15*0.85+Assumptions!B11*0.15),0)</f>
        <v>7413</v>
      </c>
      <c r="I39" s="20" t="n">
        <f aca="false">H39</f>
        <v>7413</v>
      </c>
      <c r="J39" s="8" t="n">
        <f aca="false">ROUND(E39*Assumptions!B68,0)</f>
        <v>2261</v>
      </c>
      <c r="K39" s="8" t="n">
        <f aca="false">ROUND(J39*Assumptions!B65,0)</f>
        <v>181</v>
      </c>
      <c r="L39" s="8" t="n">
        <f aca="false">Assumptions!B70+IF(E39&gt;Assumptions!B72,45,0)</f>
        <v>76</v>
      </c>
      <c r="M39" s="8" t="n">
        <f aca="false">Assumptions!B76+Assumptions!B77</f>
        <v>35</v>
      </c>
      <c r="N39" s="8" t="n">
        <f aca="false">Assumptions!B81+Assumptions!B82+Assumptions!B87/12+Assumptions!B84</f>
        <v>92</v>
      </c>
      <c r="O39" s="8" t="n">
        <f aca="false">ROUND(I39*Assumptions!B85+E39*Assumptions!B86+W39*Assumptions!B85+ROUND(B39*Assumptions!B137*Assumptions!B138*Assumptions!B139,0)*Assumptions!B86,0)</f>
        <v>494</v>
      </c>
      <c r="P39" s="20" t="n">
        <f aca="false">K39+L39+M39+N39+O39+X39</f>
        <v>1146</v>
      </c>
      <c r="Q39" s="20" t="n">
        <f aca="false">I39-P39</f>
        <v>6267</v>
      </c>
      <c r="R39" s="8" t="n">
        <f aca="false">ROUND(B39*Assumptions!B51*Assumptions!B52,0)</f>
        <v>14638</v>
      </c>
      <c r="S39" s="20" t="n">
        <f aca="false">I39+R39+W39</f>
        <v>23682</v>
      </c>
      <c r="T39" s="20" t="n">
        <f aca="false">IF(U39&lt;P39*3,0,IF(U39&lt;P39*6,ROUND((Q39+R39+W39)*0.75*Assumptions!B113,0),ROUND((Q39+R39+W39)*0.75*Assumptions!B114,0)))</f>
        <v>6457</v>
      </c>
      <c r="U39" s="20" t="n">
        <f aca="false">U38+Q39+R39+W39</f>
        <v>195538</v>
      </c>
      <c r="V39" s="21" t="str">
        <f aca="false">IF(B39&gt;=Assumptions!B107,"Signal 6",IF(B39&gt;=Assumptions!B106,"Signal 5",IF(B39&gt;=Assumptions!B105,"Signal 4",IF(B39&gt;=Assumptions!B104,"Signal 3",IF(B39&gt;=Assumptions!B103,"Signal 2",IF(B39&gt;=Assumptions!B102,"Signal 1","Pre-Signal 1"))))))</f>
        <v>Signal 3</v>
      </c>
      <c r="W39" s="8" t="n">
        <f aca="false">ROUND(B39*Assumptions!B137*Assumptions!B138*Assumptions!B139*Assumptions!B136,0)</f>
        <v>1631</v>
      </c>
      <c r="X39" s="8" t="n">
        <f aca="false">ROUND(B39*Assumptions!B137*Assumptions!B65,0)</f>
        <v>268</v>
      </c>
    </row>
    <row r="40" customFormat="false" ht="15" hidden="false" customHeight="false" outlineLevel="0" collapsed="false">
      <c r="A40" s="18" t="n">
        <v>35</v>
      </c>
      <c r="B40" s="6" t="n">
        <f aca="false">B39*(1+Assumptions!B34)</f>
        <v>46840.8053694654</v>
      </c>
      <c r="C40" s="6" t="n">
        <f aca="false">ROUND(B40*Assumptions!B25,0)</f>
        <v>937</v>
      </c>
      <c r="D40" s="6" t="n">
        <f aca="false">ROUND(B40*Assumptions!B23,0)</f>
        <v>117</v>
      </c>
      <c r="E40" s="18" t="n">
        <f aca="false">E39+D40-F40</f>
        <v>724</v>
      </c>
      <c r="F40" s="6" t="n">
        <f aca="false">ROUND(E39*Assumptions!B44,0)</f>
        <v>39</v>
      </c>
      <c r="G40" s="18" t="n">
        <f aca="false">D40-F40</f>
        <v>78</v>
      </c>
      <c r="H40" s="18" t="n">
        <f aca="false">ROUND(E40*(Assumptions!B15*0.85+Assumptions!B11*0.15),0)</f>
        <v>8308</v>
      </c>
      <c r="I40" s="18" t="n">
        <f aca="false">H40</f>
        <v>8308</v>
      </c>
      <c r="J40" s="6" t="n">
        <f aca="false">ROUND(E40*Assumptions!B68,0)</f>
        <v>2534</v>
      </c>
      <c r="K40" s="6" t="n">
        <f aca="false">ROUND(J40*Assumptions!B65,0)</f>
        <v>203</v>
      </c>
      <c r="L40" s="6" t="n">
        <f aca="false">Assumptions!B70+IF(E40&gt;Assumptions!B72,45,0)</f>
        <v>76</v>
      </c>
      <c r="M40" s="6" t="n">
        <f aca="false">Assumptions!B76+Assumptions!B77</f>
        <v>35</v>
      </c>
      <c r="N40" s="6" t="n">
        <f aca="false">Assumptions!B81+Assumptions!B82+Assumptions!B87/12+Assumptions!B84</f>
        <v>92</v>
      </c>
      <c r="O40" s="6" t="n">
        <f aca="false">ROUND(I40*Assumptions!B85+E40*Assumptions!B86+W40*Assumptions!B85+ROUND(B40*Assumptions!B137*Assumptions!B138*Assumptions!B139,0)*Assumptions!B86,0)</f>
        <v>553</v>
      </c>
      <c r="P40" s="18" t="n">
        <f aca="false">K40+L40+M40+N40+O40+X40</f>
        <v>1259</v>
      </c>
      <c r="Q40" s="18" t="n">
        <f aca="false">I40-P40</f>
        <v>7049</v>
      </c>
      <c r="R40" s="6" t="n">
        <f aca="false">ROUND(B40*Assumptions!B51*Assumptions!B52,0)</f>
        <v>16394</v>
      </c>
      <c r="S40" s="18" t="n">
        <f aca="false">I40+R40+W40</f>
        <v>26529</v>
      </c>
      <c r="T40" s="18" t="n">
        <f aca="false">IF(U40&lt;P40*3,0,IF(U40&lt;P40*6,ROUND((Q40+R40+W40)*0.75*Assumptions!B113,0),ROUND((Q40+R40+W40)*0.75*Assumptions!B114,0)))</f>
        <v>7240</v>
      </c>
      <c r="U40" s="18" t="n">
        <f aca="false">U39+Q40+R40+W40</f>
        <v>220808</v>
      </c>
      <c r="V40" s="19" t="str">
        <f aca="false">IF(B40&gt;=Assumptions!B107,"Signal 6",IF(B40&gt;=Assumptions!B106,"Signal 5",IF(B40&gt;=Assumptions!B105,"Signal 4",IF(B40&gt;=Assumptions!B104,"Signal 3",IF(B40&gt;=Assumptions!B103,"Signal 2",IF(B40&gt;=Assumptions!B102,"Signal 1","Pre-Signal 1"))))))</f>
        <v>Signal 3</v>
      </c>
      <c r="W40" s="6" t="n">
        <f aca="false">ROUND(B40*Assumptions!B137*Assumptions!B138*Assumptions!B139*Assumptions!B136,0)</f>
        <v>1827</v>
      </c>
      <c r="X40" s="6" t="n">
        <f aca="false">ROUND(B40*Assumptions!B137*Assumptions!B65,0)</f>
        <v>300</v>
      </c>
    </row>
    <row r="41" customFormat="false" ht="15" hidden="false" customHeight="false" outlineLevel="0" collapsed="false">
      <c r="A41" s="20" t="n">
        <v>36</v>
      </c>
      <c r="B41" s="8" t="n">
        <f aca="false">B40*(1+Assumptions!B34)</f>
        <v>52461.7020138012</v>
      </c>
      <c r="C41" s="8" t="n">
        <f aca="false">ROUND(B41*Assumptions!B25,0)</f>
        <v>1049</v>
      </c>
      <c r="D41" s="8" t="n">
        <f aca="false">ROUND(B41*Assumptions!B23,0)</f>
        <v>131</v>
      </c>
      <c r="E41" s="20" t="n">
        <f aca="false">E40+D41-F41</f>
        <v>812</v>
      </c>
      <c r="F41" s="8" t="n">
        <f aca="false">ROUND(E40*Assumptions!B44,0)</f>
        <v>43</v>
      </c>
      <c r="G41" s="20" t="n">
        <f aca="false">D41-F41</f>
        <v>88</v>
      </c>
      <c r="H41" s="20" t="n">
        <f aca="false">ROUND(E41*(Assumptions!B15*0.85+Assumptions!B11*0.15),0)</f>
        <v>9318</v>
      </c>
      <c r="I41" s="20" t="n">
        <f aca="false">H41</f>
        <v>9318</v>
      </c>
      <c r="J41" s="8" t="n">
        <f aca="false">ROUND(E41*Assumptions!B68,0)</f>
        <v>2842</v>
      </c>
      <c r="K41" s="8" t="n">
        <f aca="false">ROUND(J41*Assumptions!B65,0)</f>
        <v>227</v>
      </c>
      <c r="L41" s="8" t="n">
        <f aca="false">Assumptions!B70+IF(E41&gt;Assumptions!B72,45,0)</f>
        <v>76</v>
      </c>
      <c r="M41" s="8" t="n">
        <f aca="false">Assumptions!B76+Assumptions!B77</f>
        <v>35</v>
      </c>
      <c r="N41" s="8" t="n">
        <f aca="false">Assumptions!B81+Assumptions!B82+Assumptions!B87/12+Assumptions!B84</f>
        <v>92</v>
      </c>
      <c r="O41" s="8" t="n">
        <f aca="false">ROUND(I41*Assumptions!B85+E41*Assumptions!B86+W41*Assumptions!B85+ROUND(B41*Assumptions!B137*Assumptions!B138*Assumptions!B139,0)*Assumptions!B86,0)</f>
        <v>620</v>
      </c>
      <c r="P41" s="20" t="n">
        <f aca="false">K41+L41+M41+N41+O41+X41</f>
        <v>1386</v>
      </c>
      <c r="Q41" s="20" t="n">
        <f aca="false">I41-P41</f>
        <v>7932</v>
      </c>
      <c r="R41" s="8" t="n">
        <f aca="false">ROUND(B41*Assumptions!B51*Assumptions!B52,0)</f>
        <v>18362</v>
      </c>
      <c r="S41" s="20" t="n">
        <f aca="false">I41+R41+W41</f>
        <v>29726</v>
      </c>
      <c r="T41" s="20" t="n">
        <f aca="false">IF(U41&lt;P41*3,0,IF(U41&lt;P41*6,ROUND((Q41+R41+W41)*0.75*Assumptions!B113,0),ROUND((Q41+R41+W41)*0.75*Assumptions!B114,0)))</f>
        <v>8119</v>
      </c>
      <c r="U41" s="20" t="n">
        <f aca="false">U40+Q41+R41+W41</f>
        <v>249148</v>
      </c>
      <c r="V41" s="21" t="str">
        <f aca="false">IF(B41&gt;=Assumptions!B107,"Signal 6",IF(B41&gt;=Assumptions!B106,"Signal 5",IF(B41&gt;=Assumptions!B105,"Signal 4",IF(B41&gt;=Assumptions!B104,"Signal 3",IF(B41&gt;=Assumptions!B103,"Signal 2",IF(B41&gt;=Assumptions!B102,"Signal 1","Pre-Signal 1"))))))</f>
        <v>Signal 3</v>
      </c>
      <c r="W41" s="8" t="n">
        <f aca="false">ROUND(B41*Assumptions!B137*Assumptions!B138*Assumptions!B139*Assumptions!B136,0)</f>
        <v>2046</v>
      </c>
      <c r="X41" s="8" t="n">
        <f aca="false">ROUND(B41*Assumptions!B137*Assumptions!B65,0)</f>
        <v>336</v>
      </c>
    </row>
    <row r="43" customFormat="false" ht="15" hidden="false" customHeight="false" outlineLevel="0" collapsed="false">
      <c r="A43" s="3" t="s">
        <v>253</v>
      </c>
      <c r="I43" s="3" t="n">
        <f aca="false">SUM(I6:I41)</f>
        <v>82970</v>
      </c>
      <c r="P43" s="3" t="n">
        <f aca="false">SUM(P6:P41)</f>
        <v>18834</v>
      </c>
      <c r="Q43" s="3" t="n">
        <f aca="false">SUM(Q6:Q41)</f>
        <v>64136</v>
      </c>
      <c r="R43" s="3" t="n">
        <f aca="false">SUM(R6:R41)</f>
        <v>166268</v>
      </c>
      <c r="S43" s="3" t="n">
        <f aca="false">SUM(S6:S41)</f>
        <v>267982</v>
      </c>
      <c r="T43" s="3" t="n">
        <f aca="false">SUM(T6:T41)</f>
        <v>71425</v>
      </c>
      <c r="W43" s="3" t="n">
        <f aca="false">SUM(W6:W41)</f>
        <v>18744</v>
      </c>
      <c r="X43" s="3" t="n">
        <f aca="false">SUM(X6:X41)</f>
        <v>3079</v>
      </c>
    </row>
    <row r="44" customFormat="false" ht="15" hidden="false" customHeight="false" outlineLevel="0" collapsed="false">
      <c r="A44" s="3" t="s">
        <v>254</v>
      </c>
      <c r="H44" s="22" t="n">
        <f aca="false">AVERAGE(H6:H41)</f>
        <v>2304.72222222222</v>
      </c>
      <c r="Q44" s="22" t="n">
        <f aca="false">AVERAGE(Q6:Q41)</f>
        <v>1781.55555555556</v>
      </c>
    </row>
    <row r="45" customFormat="false" ht="15" hidden="false" customHeight="false" outlineLevel="0" collapsed="false">
      <c r="A45" s="3" t="s">
        <v>255</v>
      </c>
      <c r="B45" s="23" t="n">
        <f aca="false">B41</f>
        <v>52461.7020138012</v>
      </c>
      <c r="E45" s="23" t="n">
        <f aca="false">E41</f>
        <v>812</v>
      </c>
      <c r="H45" s="23" t="n">
        <f aca="false">H41</f>
        <v>9318</v>
      </c>
      <c r="S45" s="23" t="n">
        <f aca="false">S41</f>
        <v>29726</v>
      </c>
      <c r="T45" s="23" t="n">
        <f aca="false">T41</f>
        <v>8119</v>
      </c>
      <c r="U45" s="23" t="n">
        <f aca="false">U41</f>
        <v>249148</v>
      </c>
      <c r="V45" s="3" t="str">
        <f aca="false">V41</f>
        <v>Signal 3</v>
      </c>
    </row>
  </sheetData>
  <conditionalFormatting sqref="A6:X41">
    <cfRule type="expression" priority="2" aboveAverage="0" equalAverage="0" bottom="0" percent="0" rank="0" text="" dxfId="0">
      <formula>AND(B6&gt;=10000,OR(ROW()=6,B5&lt;10000))</formula>
    </cfRule>
    <cfRule type="expression" priority="3" aboveAverage="0" equalAverage="0" bottom="0" percent="0" rank="0" text="" dxfId="0">
      <formula>AND(B6&gt;=25000,OR(ROW()=6,B5&lt;25000))</formula>
    </cfRule>
    <cfRule type="expression" priority="4" aboveAverage="0" equalAverage="0" bottom="0" percent="0" rank="0" text="" dxfId="0">
      <formula>AND(B6&gt;=40000,OR(ROW()=6,B5&lt;40000))</formula>
    </cfRule>
    <cfRule type="expression" priority="5" aboveAverage="0" equalAverage="0" bottom="0" percent="0" rank="0" text="" dxfId="0">
      <formula>AND(B6&gt;=65000,OR(ROW()=6,B5&lt;65000))</formula>
    </cfRule>
    <cfRule type="expression" priority="6" aboveAverage="0" equalAverage="0" bottom="0" percent="0" rank="0" text="" dxfId="0">
      <formula>AND(B6&gt;=110000,OR(ROW()=6,B5&lt;110000))</formula>
    </cfRule>
    <cfRule type="expression" priority="7" aboveAverage="0" equalAverage="0" bottom="0" percent="0" rank="0" text="" dxfId="0">
      <formula>AND(B6&gt;=175000,OR(ROW()=6,B5&lt;175000))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7" min="4" style="0" width="10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4" min="12" style="0" width="12"/>
    <col collapsed="false" customWidth="true" hidden="false" outlineLevel="0" max="15" min="15" style="0" width="10"/>
    <col collapsed="false" customWidth="true" hidden="false" outlineLevel="0" max="20" min="16" style="0" width="12"/>
    <col collapsed="false" customWidth="true" hidden="false" outlineLevel="0" max="21" min="21" style="0" width="14"/>
    <col collapsed="false" customWidth="true" hidden="false" outlineLevel="0" max="22" min="22" style="0" width="12"/>
    <col collapsed="false" customWidth="true" hidden="false" outlineLevel="0" max="24" min="23" style="0" width="14"/>
  </cols>
  <sheetData>
    <row r="1" customFormat="false" ht="15" hidden="false" customHeight="false" outlineLevel="0" collapsed="false">
      <c r="A1" s="15" t="s">
        <v>258</v>
      </c>
    </row>
    <row r="2" customFormat="false" ht="15" hidden="false" customHeight="false" outlineLevel="0" collapsed="false">
      <c r="A2" s="2" t="s">
        <v>259</v>
      </c>
    </row>
    <row r="3" customFormat="false" ht="15" hidden="false" customHeight="false" outlineLevel="0" collapsed="false">
      <c r="A3" s="16" t="s">
        <v>228</v>
      </c>
    </row>
    <row r="5" customFormat="false" ht="30" hidden="false" customHeight="true" outlineLevel="0" collapsed="false">
      <c r="A5" s="17" t="s">
        <v>229</v>
      </c>
      <c r="B5" s="17" t="s">
        <v>230</v>
      </c>
      <c r="C5" s="17" t="s">
        <v>231</v>
      </c>
      <c r="D5" s="17" t="s">
        <v>232</v>
      </c>
      <c r="E5" s="17" t="s">
        <v>233</v>
      </c>
      <c r="F5" s="17" t="s">
        <v>234</v>
      </c>
      <c r="G5" s="17" t="s">
        <v>235</v>
      </c>
      <c r="H5" s="17" t="s">
        <v>236</v>
      </c>
      <c r="I5" s="17" t="s">
        <v>237</v>
      </c>
      <c r="J5" s="17" t="s">
        <v>238</v>
      </c>
      <c r="K5" s="17" t="s">
        <v>239</v>
      </c>
      <c r="L5" s="17" t="s">
        <v>240</v>
      </c>
      <c r="M5" s="17" t="s">
        <v>241</v>
      </c>
      <c r="N5" s="17" t="s">
        <v>242</v>
      </c>
      <c r="O5" s="17" t="s">
        <v>243</v>
      </c>
      <c r="P5" s="17" t="s">
        <v>244</v>
      </c>
      <c r="Q5" s="17" t="s">
        <v>245</v>
      </c>
      <c r="R5" s="17" t="s">
        <v>246</v>
      </c>
      <c r="S5" s="17" t="s">
        <v>247</v>
      </c>
      <c r="T5" s="17" t="s">
        <v>248</v>
      </c>
      <c r="U5" s="17" t="s">
        <v>249</v>
      </c>
      <c r="V5" s="17" t="s">
        <v>250</v>
      </c>
      <c r="W5" s="17" t="s">
        <v>251</v>
      </c>
      <c r="X5" s="17" t="s">
        <v>252</v>
      </c>
    </row>
    <row r="6" customFormat="false" ht="15" hidden="false" customHeight="false" outlineLevel="0" collapsed="false">
      <c r="A6" s="18" t="n">
        <v>1</v>
      </c>
      <c r="B6" s="6" t="n">
        <f aca="false">Assumptions!B32</f>
        <v>1200</v>
      </c>
      <c r="C6" s="6" t="n">
        <f aca="false">ROUND(B6*Assumptions!B25,0)</f>
        <v>24</v>
      </c>
      <c r="D6" s="6" t="n">
        <f aca="false">ROUND(B6*Assumptions!B24,0)</f>
        <v>6</v>
      </c>
      <c r="E6" s="18" t="n">
        <f aca="false">D6</f>
        <v>6</v>
      </c>
      <c r="F6" s="18" t="n">
        <f aca="false">0</f>
        <v>0</v>
      </c>
      <c r="G6" s="18" t="n">
        <f aca="false">D6-F6</f>
        <v>6</v>
      </c>
      <c r="H6" s="18" t="n">
        <f aca="false">ROUND(E6*Assumptions!B14,0)</f>
        <v>48</v>
      </c>
      <c r="I6" s="18" t="n">
        <f aca="false">H6</f>
        <v>48</v>
      </c>
      <c r="J6" s="6" t="n">
        <f aca="false">ROUND(E6*Assumptions!B68,0)</f>
        <v>21</v>
      </c>
      <c r="K6" s="6" t="n">
        <f aca="false">ROUND(J6*Assumptions!B65,0)</f>
        <v>2</v>
      </c>
      <c r="L6" s="6" t="n">
        <f aca="false">Assumptions!B70+IF(E6&gt;Assumptions!B72,45,0)</f>
        <v>31</v>
      </c>
      <c r="M6" s="6" t="n">
        <f aca="false">Assumptions!B94+Assumptions!B95+Assumptions!B76+Assumptions!B77</f>
        <v>2785</v>
      </c>
      <c r="N6" s="6" t="n">
        <f aca="false">Assumptions!B81+Assumptions!B82+Assumptions!B87/12</f>
        <v>50</v>
      </c>
      <c r="O6" s="6" t="n">
        <f aca="false">ROUND(I6*Assumptions!B85+E6*Assumptions!B86+W6*Assumptions!B85+ROUND(B6*Assumptions!B137*Assumptions!B138*Assumptions!B139,0)*Assumptions!B86,0)</f>
        <v>6</v>
      </c>
      <c r="P6" s="18" t="n">
        <f aca="false">K6+L6+M6+N6+O6+X6</f>
        <v>2882</v>
      </c>
      <c r="Q6" s="18" t="n">
        <f aca="false">I6-P6</f>
        <v>-2834</v>
      </c>
      <c r="R6" s="18" t="n">
        <f aca="false">0</f>
        <v>0</v>
      </c>
      <c r="S6" s="18" t="n">
        <f aca="false">I6+R6+W6</f>
        <v>95</v>
      </c>
      <c r="T6" s="18" t="n">
        <f aca="false">IF(U6&lt;P6*3,0,IF(U6&lt;P6*6,ROUND((Q6+R6+W6)*0.75*Assumptions!B113,0),ROUND((Q6+R6+W6)*0.75*Assumptions!B114,0)))</f>
        <v>0</v>
      </c>
      <c r="U6" s="18" t="n">
        <f aca="false">Q6+R6+W6</f>
        <v>-2787</v>
      </c>
      <c r="V6" s="19" t="str">
        <f aca="false">IF(B6&gt;=Assumptions!B107,"Signal 6",IF(B6&gt;=Assumptions!B106,"Signal 5",IF(B6&gt;=Assumptions!B105,"Signal 4",IF(B6&gt;=Assumptions!B104,"Signal 3",IF(B6&gt;=Assumptions!B103,"Signal 2",IF(B6&gt;=Assumptions!B102,"Signal 1","Pre-Signal 1"))))))</f>
        <v>Pre-Signal 1</v>
      </c>
      <c r="W6" s="6" t="n">
        <f aca="false">ROUND(B6*Assumptions!B137*Assumptions!B138*Assumptions!B139*Assumptions!B136,0)</f>
        <v>47</v>
      </c>
      <c r="X6" s="6" t="n">
        <f aca="false">ROUND(B6*Assumptions!B137*Assumptions!B65,0)</f>
        <v>8</v>
      </c>
    </row>
    <row r="7" customFormat="false" ht="15" hidden="false" customHeight="false" outlineLevel="0" collapsed="false">
      <c r="A7" s="20" t="n">
        <v>2</v>
      </c>
      <c r="B7" s="8" t="n">
        <f aca="false">B6*(1+Assumptions!B35)</f>
        <v>1380</v>
      </c>
      <c r="C7" s="8" t="n">
        <f aca="false">ROUND(B7*Assumptions!B25,0)</f>
        <v>28</v>
      </c>
      <c r="D7" s="8" t="n">
        <f aca="false">ROUND(B7*Assumptions!B24,0)</f>
        <v>7</v>
      </c>
      <c r="E7" s="20" t="n">
        <f aca="false">E6+D7-F7</f>
        <v>13</v>
      </c>
      <c r="F7" s="8" t="n">
        <f aca="false">ROUND(E6*Assumptions!B45,0)</f>
        <v>0</v>
      </c>
      <c r="G7" s="20" t="n">
        <f aca="false">D7-F7</f>
        <v>7</v>
      </c>
      <c r="H7" s="20" t="n">
        <f aca="false">ROUND(E7*Assumptions!B14,0)</f>
        <v>104</v>
      </c>
      <c r="I7" s="20" t="n">
        <f aca="false">H7</f>
        <v>104</v>
      </c>
      <c r="J7" s="8" t="n">
        <f aca="false">ROUND(E7*Assumptions!B68,0)</f>
        <v>46</v>
      </c>
      <c r="K7" s="8" t="n">
        <f aca="false">ROUND(J7*Assumptions!B65,0)</f>
        <v>4</v>
      </c>
      <c r="L7" s="8" t="n">
        <f aca="false">Assumptions!B70+IF(E7&gt;Assumptions!B72,45,0)</f>
        <v>31</v>
      </c>
      <c r="M7" s="8" t="n">
        <f aca="false">Assumptions!B76+Assumptions!B77</f>
        <v>35</v>
      </c>
      <c r="N7" s="8" t="n">
        <f aca="false">Assumptions!B81+Assumptions!B82+Assumptions!B87/12</f>
        <v>50</v>
      </c>
      <c r="O7" s="8" t="n">
        <f aca="false">ROUND(I7*Assumptions!B85+E7*Assumptions!B86+W7*Assumptions!B85+ROUND(B7*Assumptions!B137*Assumptions!B138*Assumptions!B139,0)*Assumptions!B86,0)</f>
        <v>10</v>
      </c>
      <c r="P7" s="20" t="n">
        <f aca="false">K7+L7+M7+N7+O7+X7</f>
        <v>139</v>
      </c>
      <c r="Q7" s="20" t="n">
        <f aca="false">I7-P7</f>
        <v>-35</v>
      </c>
      <c r="R7" s="20" t="n">
        <f aca="false">0</f>
        <v>0</v>
      </c>
      <c r="S7" s="20" t="n">
        <f aca="false">I7+R7+W7</f>
        <v>158</v>
      </c>
      <c r="T7" s="20" t="n">
        <f aca="false">IF(U7&lt;P7*3,0,IF(U7&lt;P7*6,ROUND((Q7+R7+W7)*0.75*Assumptions!B113,0),ROUND((Q7+R7+W7)*0.75*Assumptions!B114,0)))</f>
        <v>0</v>
      </c>
      <c r="U7" s="20" t="n">
        <f aca="false">U6+Q7+R7+W7</f>
        <v>-2768</v>
      </c>
      <c r="V7" s="21" t="str">
        <f aca="false">IF(B7&gt;=Assumptions!B107,"Signal 6",IF(B7&gt;=Assumptions!B106,"Signal 5",IF(B7&gt;=Assumptions!B105,"Signal 4",IF(B7&gt;=Assumptions!B104,"Signal 3",IF(B7&gt;=Assumptions!B103,"Signal 2",IF(B7&gt;=Assumptions!B102,"Signal 1","Pre-Signal 1"))))))</f>
        <v>Pre-Signal 1</v>
      </c>
      <c r="W7" s="8" t="n">
        <f aca="false">ROUND(B7*Assumptions!B137*Assumptions!B138*Assumptions!B139*Assumptions!B136,0)</f>
        <v>54</v>
      </c>
      <c r="X7" s="8" t="n">
        <f aca="false">ROUND(B7*Assumptions!B137*Assumptions!B65,0)</f>
        <v>9</v>
      </c>
    </row>
    <row r="8" customFormat="false" ht="15" hidden="false" customHeight="false" outlineLevel="0" collapsed="false">
      <c r="A8" s="18" t="n">
        <v>3</v>
      </c>
      <c r="B8" s="6" t="n">
        <f aca="false">B7*(1+Assumptions!B35)*Assumptions!B36</f>
        <v>1825.05</v>
      </c>
      <c r="C8" s="6" t="n">
        <f aca="false">ROUND(B8*Assumptions!B25,0)</f>
        <v>37</v>
      </c>
      <c r="D8" s="6" t="n">
        <f aca="false">ROUND(B8*Assumptions!B24,0)</f>
        <v>9</v>
      </c>
      <c r="E8" s="18" t="n">
        <f aca="false">E7+D8-F8</f>
        <v>21</v>
      </c>
      <c r="F8" s="6" t="n">
        <f aca="false">ROUND(E7*Assumptions!B45,0)</f>
        <v>1</v>
      </c>
      <c r="G8" s="18" t="n">
        <f aca="false">D8-F8</f>
        <v>8</v>
      </c>
      <c r="H8" s="18" t="n">
        <f aca="false">ROUND(E8*Assumptions!B14,0)</f>
        <v>168</v>
      </c>
      <c r="I8" s="18" t="n">
        <f aca="false">H8</f>
        <v>168</v>
      </c>
      <c r="J8" s="6" t="n">
        <f aca="false">ROUND(E8*Assumptions!B68,0)</f>
        <v>74</v>
      </c>
      <c r="K8" s="6" t="n">
        <f aca="false">ROUND(J8*Assumptions!B65,0)</f>
        <v>6</v>
      </c>
      <c r="L8" s="6" t="n">
        <f aca="false">Assumptions!B70+IF(E8&gt;Assumptions!B72,45,0)</f>
        <v>31</v>
      </c>
      <c r="M8" s="6" t="n">
        <f aca="false">Assumptions!B76+Assumptions!B77</f>
        <v>35</v>
      </c>
      <c r="N8" s="6" t="n">
        <f aca="false">Assumptions!B81+Assumptions!B82+Assumptions!B87/12</f>
        <v>50</v>
      </c>
      <c r="O8" s="6" t="n">
        <f aca="false">ROUND(I8*Assumptions!B85+E8*Assumptions!B86+W8*Assumptions!B85+ROUND(B8*Assumptions!B137*Assumptions!B138*Assumptions!B139,0)*Assumptions!B86,0)</f>
        <v>15</v>
      </c>
      <c r="P8" s="18" t="n">
        <f aca="false">K8+L8+M8+N8+O8+X8</f>
        <v>149</v>
      </c>
      <c r="Q8" s="18" t="n">
        <f aca="false">I8-P8</f>
        <v>19</v>
      </c>
      <c r="R8" s="18" t="n">
        <f aca="false">0</f>
        <v>0</v>
      </c>
      <c r="S8" s="18" t="n">
        <f aca="false">I8+R8+W8</f>
        <v>239</v>
      </c>
      <c r="T8" s="18" t="n">
        <f aca="false">IF(U8&lt;P8*3,0,IF(U8&lt;P8*6,ROUND((Q8+R8+W8)*0.75*Assumptions!B113,0),ROUND((Q8+R8+W8)*0.75*Assumptions!B114,0)))</f>
        <v>0</v>
      </c>
      <c r="U8" s="18" t="n">
        <f aca="false">U7+Q8+R8+W8</f>
        <v>-2678</v>
      </c>
      <c r="V8" s="19" t="str">
        <f aca="false">IF(B8&gt;=Assumptions!B107,"Signal 6",IF(B8&gt;=Assumptions!B106,"Signal 5",IF(B8&gt;=Assumptions!B105,"Signal 4",IF(B8&gt;=Assumptions!B104,"Signal 3",IF(B8&gt;=Assumptions!B103,"Signal 2",IF(B8&gt;=Assumptions!B102,"Signal 1","Pre-Signal 1"))))))</f>
        <v>Pre-Signal 1</v>
      </c>
      <c r="W8" s="6" t="n">
        <f aca="false">ROUND(B8*Assumptions!B137*Assumptions!B138*Assumptions!B139*Assumptions!B136,0)</f>
        <v>71</v>
      </c>
      <c r="X8" s="6" t="n">
        <f aca="false">ROUND(B8*Assumptions!B137*Assumptions!B65,0)</f>
        <v>12</v>
      </c>
    </row>
    <row r="9" customFormat="false" ht="15" hidden="false" customHeight="false" outlineLevel="0" collapsed="false">
      <c r="A9" s="20" t="n">
        <v>4</v>
      </c>
      <c r="B9" s="8" t="n">
        <f aca="false">B8*(1+Assumptions!B35)</f>
        <v>2098.8075</v>
      </c>
      <c r="C9" s="8" t="n">
        <f aca="false">ROUND(B9*Assumptions!B25,0)</f>
        <v>42</v>
      </c>
      <c r="D9" s="8" t="n">
        <f aca="false">ROUND(B9*Assumptions!B24,0)</f>
        <v>10</v>
      </c>
      <c r="E9" s="20" t="n">
        <f aca="false">E8+D9-F9</f>
        <v>30</v>
      </c>
      <c r="F9" s="8" t="n">
        <f aca="false">ROUND(E8*Assumptions!B45,0)</f>
        <v>1</v>
      </c>
      <c r="G9" s="20" t="n">
        <f aca="false">D9-F9</f>
        <v>9</v>
      </c>
      <c r="H9" s="20" t="n">
        <f aca="false">ROUND(E9*Assumptions!B14,0)</f>
        <v>240</v>
      </c>
      <c r="I9" s="20" t="n">
        <f aca="false">H9</f>
        <v>240</v>
      </c>
      <c r="J9" s="8" t="n">
        <f aca="false">ROUND(E9*Assumptions!B68,0)</f>
        <v>105</v>
      </c>
      <c r="K9" s="8" t="n">
        <f aca="false">ROUND(J9*Assumptions!B65,0)</f>
        <v>8</v>
      </c>
      <c r="L9" s="8" t="n">
        <f aca="false">Assumptions!B70+IF(E9&gt;Assumptions!B72,45,0)</f>
        <v>31</v>
      </c>
      <c r="M9" s="8" t="n">
        <f aca="false">Assumptions!B76+Assumptions!B77</f>
        <v>35</v>
      </c>
      <c r="N9" s="8" t="n">
        <f aca="false">Assumptions!B81+Assumptions!B82+Assumptions!B87/12</f>
        <v>50</v>
      </c>
      <c r="O9" s="8" t="n">
        <f aca="false">ROUND(I9*Assumptions!B85+E9*Assumptions!B86+W9*Assumptions!B85+ROUND(B9*Assumptions!B137*Assumptions!B138*Assumptions!B139,0)*Assumptions!B86,0)</f>
        <v>20</v>
      </c>
      <c r="P9" s="20" t="n">
        <f aca="false">K9+L9+M9+N9+O9+X9</f>
        <v>157</v>
      </c>
      <c r="Q9" s="20" t="n">
        <f aca="false">I9-P9</f>
        <v>83</v>
      </c>
      <c r="R9" s="20" t="n">
        <f aca="false">0</f>
        <v>0</v>
      </c>
      <c r="S9" s="20" t="n">
        <f aca="false">I9+R9+W9</f>
        <v>322</v>
      </c>
      <c r="T9" s="20" t="n">
        <f aca="false">IF(U9&lt;P9*3,0,IF(U9&lt;P9*6,ROUND((Q9+R9+W9)*0.75*Assumptions!B113,0),ROUND((Q9+R9+W9)*0.75*Assumptions!B114,0)))</f>
        <v>0</v>
      </c>
      <c r="U9" s="20" t="n">
        <f aca="false">U8+Q9+R9+W9</f>
        <v>-2513</v>
      </c>
      <c r="V9" s="21" t="str">
        <f aca="false">IF(B9&gt;=Assumptions!B107,"Signal 6",IF(B9&gt;=Assumptions!B106,"Signal 5",IF(B9&gt;=Assumptions!B105,"Signal 4",IF(B9&gt;=Assumptions!B104,"Signal 3",IF(B9&gt;=Assumptions!B103,"Signal 2",IF(B9&gt;=Assumptions!B102,"Signal 1","Pre-Signal 1"))))))</f>
        <v>Pre-Signal 1</v>
      </c>
      <c r="W9" s="8" t="n">
        <f aca="false">ROUND(B9*Assumptions!B137*Assumptions!B138*Assumptions!B139*Assumptions!B136,0)</f>
        <v>82</v>
      </c>
      <c r="X9" s="8" t="n">
        <f aca="false">ROUND(B9*Assumptions!B137*Assumptions!B65,0)</f>
        <v>13</v>
      </c>
    </row>
    <row r="10" customFormat="false" ht="15" hidden="false" customHeight="false" outlineLevel="0" collapsed="false">
      <c r="A10" s="18" t="n">
        <v>5</v>
      </c>
      <c r="B10" s="6" t="n">
        <f aca="false">B9*(1+Assumptions!B35)</f>
        <v>2413.628625</v>
      </c>
      <c r="C10" s="6" t="n">
        <f aca="false">ROUND(B10*Assumptions!B25,0)</f>
        <v>48</v>
      </c>
      <c r="D10" s="6" t="n">
        <f aca="false">ROUND(B10*Assumptions!B24,0)</f>
        <v>12</v>
      </c>
      <c r="E10" s="18" t="n">
        <f aca="false">E9+D10-F10</f>
        <v>41</v>
      </c>
      <c r="F10" s="6" t="n">
        <f aca="false">ROUND(E9*Assumptions!B45,0)</f>
        <v>1</v>
      </c>
      <c r="G10" s="18" t="n">
        <f aca="false">D10-F10</f>
        <v>11</v>
      </c>
      <c r="H10" s="18" t="n">
        <f aca="false">ROUND(E10*Assumptions!B14,0)</f>
        <v>328</v>
      </c>
      <c r="I10" s="18" t="n">
        <f aca="false">H10</f>
        <v>328</v>
      </c>
      <c r="J10" s="6" t="n">
        <f aca="false">ROUND(E10*Assumptions!B68,0)</f>
        <v>144</v>
      </c>
      <c r="K10" s="6" t="n">
        <f aca="false">ROUND(J10*Assumptions!B65,0)</f>
        <v>12</v>
      </c>
      <c r="L10" s="6" t="n">
        <f aca="false">Assumptions!B70+IF(E10&gt;Assumptions!B72,45,0)</f>
        <v>31</v>
      </c>
      <c r="M10" s="6" t="n">
        <f aca="false">Assumptions!B76+Assumptions!B77</f>
        <v>35</v>
      </c>
      <c r="N10" s="6" t="n">
        <f aca="false">Assumptions!B81+Assumptions!B82+Assumptions!B87/12</f>
        <v>50</v>
      </c>
      <c r="O10" s="6" t="n">
        <f aca="false">ROUND(I10*Assumptions!B85+E10*Assumptions!B86+W10*Assumptions!B85+ROUND(B10*Assumptions!B137*Assumptions!B138*Assumptions!B139,0)*Assumptions!B86,0)</f>
        <v>27</v>
      </c>
      <c r="P10" s="18" t="n">
        <f aca="false">K10+L10+M10+N10+O10+X10</f>
        <v>170</v>
      </c>
      <c r="Q10" s="18" t="n">
        <f aca="false">I10-P10</f>
        <v>158</v>
      </c>
      <c r="R10" s="18" t="n">
        <f aca="false">0</f>
        <v>0</v>
      </c>
      <c r="S10" s="18" t="n">
        <f aca="false">I10+R10+W10</f>
        <v>422</v>
      </c>
      <c r="T10" s="18" t="n">
        <f aca="false">IF(U10&lt;P10*3,0,IF(U10&lt;P10*6,ROUND((Q10+R10+W10)*0.75*Assumptions!B113,0),ROUND((Q10+R10+W10)*0.75*Assumptions!B114,0)))</f>
        <v>0</v>
      </c>
      <c r="U10" s="18" t="n">
        <f aca="false">U9+Q10+R10+W10</f>
        <v>-2261</v>
      </c>
      <c r="V10" s="19" t="str">
        <f aca="false">IF(B10&gt;=Assumptions!B107,"Signal 6",IF(B10&gt;=Assumptions!B106,"Signal 5",IF(B10&gt;=Assumptions!B105,"Signal 4",IF(B10&gt;=Assumptions!B104,"Signal 3",IF(B10&gt;=Assumptions!B103,"Signal 2",IF(B10&gt;=Assumptions!B102,"Signal 1","Pre-Signal 1"))))))</f>
        <v>Pre-Signal 1</v>
      </c>
      <c r="W10" s="6" t="n">
        <f aca="false">ROUND(B10*Assumptions!B137*Assumptions!B138*Assumptions!B139*Assumptions!B136,0)</f>
        <v>94</v>
      </c>
      <c r="X10" s="6" t="n">
        <f aca="false">ROUND(B10*Assumptions!B137*Assumptions!B65,0)</f>
        <v>15</v>
      </c>
    </row>
    <row r="11" customFormat="false" ht="15" hidden="false" customHeight="false" outlineLevel="0" collapsed="false">
      <c r="A11" s="20" t="n">
        <v>6</v>
      </c>
      <c r="B11" s="8" t="n">
        <f aca="false">B10*(1+Assumptions!B35)*Assumptions!B37</f>
        <v>2997.72675225</v>
      </c>
      <c r="C11" s="8" t="n">
        <f aca="false">ROUND(B11*Assumptions!B25,0)</f>
        <v>60</v>
      </c>
      <c r="D11" s="8" t="n">
        <f aca="false">ROUND(B11*Assumptions!B24,0)</f>
        <v>15</v>
      </c>
      <c r="E11" s="20" t="n">
        <f aca="false">E10+D11-F11</f>
        <v>54</v>
      </c>
      <c r="F11" s="8" t="n">
        <f aca="false">ROUND(E10*Assumptions!B45,0)</f>
        <v>2</v>
      </c>
      <c r="G11" s="20" t="n">
        <f aca="false">D11-F11</f>
        <v>13</v>
      </c>
      <c r="H11" s="20" t="n">
        <f aca="false">ROUND(E11*Assumptions!B14,0)</f>
        <v>432</v>
      </c>
      <c r="I11" s="20" t="n">
        <f aca="false">H11</f>
        <v>432</v>
      </c>
      <c r="J11" s="8" t="n">
        <f aca="false">ROUND(E11*Assumptions!B68,0)</f>
        <v>189</v>
      </c>
      <c r="K11" s="8" t="n">
        <f aca="false">ROUND(J11*Assumptions!B65,0)</f>
        <v>15</v>
      </c>
      <c r="L11" s="8" t="n">
        <f aca="false">Assumptions!B70+IF(E11&gt;Assumptions!B72,45,0)</f>
        <v>31</v>
      </c>
      <c r="M11" s="8" t="n">
        <f aca="false">Assumptions!B76+Assumptions!B77</f>
        <v>35</v>
      </c>
      <c r="N11" s="8" t="n">
        <f aca="false">Assumptions!B81+Assumptions!B82+Assumptions!B87/12</f>
        <v>50</v>
      </c>
      <c r="O11" s="8" t="n">
        <f aca="false">ROUND(I11*Assumptions!B85+E11*Assumptions!B86+W11*Assumptions!B85+ROUND(B11*Assumptions!B137*Assumptions!B138*Assumptions!B139,0)*Assumptions!B86,0)</f>
        <v>35</v>
      </c>
      <c r="P11" s="20" t="n">
        <f aca="false">K11+L11+M11+N11+O11+X11</f>
        <v>185</v>
      </c>
      <c r="Q11" s="20" t="n">
        <f aca="false">I11-P11</f>
        <v>247</v>
      </c>
      <c r="R11" s="8" t="n">
        <f aca="false">ROUND(B11*Assumptions!B51*Assumptions!B52,0)</f>
        <v>1049</v>
      </c>
      <c r="S11" s="20" t="n">
        <f aca="false">I11+R11+W11</f>
        <v>1598</v>
      </c>
      <c r="T11" s="20" t="n">
        <f aca="false">IF(U11&lt;P11*3,0,IF(U11&lt;P11*6,ROUND((Q11+R11+W11)*0.75*Assumptions!B113,0),ROUND((Q11+R11+W11)*0.75*Assumptions!B114,0)))</f>
        <v>0</v>
      </c>
      <c r="U11" s="20" t="n">
        <f aca="false">U10+Q11+R11+W11</f>
        <v>-848</v>
      </c>
      <c r="V11" s="21" t="str">
        <f aca="false">IF(B11&gt;=Assumptions!B107,"Signal 6",IF(B11&gt;=Assumptions!B106,"Signal 5",IF(B11&gt;=Assumptions!B105,"Signal 4",IF(B11&gt;=Assumptions!B104,"Signal 3",IF(B11&gt;=Assumptions!B103,"Signal 2",IF(B11&gt;=Assumptions!B102,"Signal 1","Pre-Signal 1"))))))</f>
        <v>Pre-Signal 1</v>
      </c>
      <c r="W11" s="8" t="n">
        <f aca="false">ROUND(B11*Assumptions!B137*Assumptions!B138*Assumptions!B139*Assumptions!B136,0)</f>
        <v>117</v>
      </c>
      <c r="X11" s="8" t="n">
        <f aca="false">ROUND(B11*Assumptions!B137*Assumptions!B65,0)</f>
        <v>19</v>
      </c>
    </row>
    <row r="12" customFormat="false" ht="15" hidden="false" customHeight="false" outlineLevel="0" collapsed="false">
      <c r="A12" s="18" t="n">
        <v>7</v>
      </c>
      <c r="B12" s="6" t="n">
        <f aca="false">B11*(1+Assumptions!B35)</f>
        <v>3447.3857650875</v>
      </c>
      <c r="C12" s="6" t="n">
        <f aca="false">ROUND(B12*Assumptions!B25,0)</f>
        <v>69</v>
      </c>
      <c r="D12" s="6" t="n">
        <f aca="false">ROUND(B12*Assumptions!B24,0)</f>
        <v>17</v>
      </c>
      <c r="E12" s="18" t="n">
        <f aca="false">E11+D12-F12</f>
        <v>69</v>
      </c>
      <c r="F12" s="6" t="n">
        <f aca="false">ROUND(E11*Assumptions!B45,0)</f>
        <v>2</v>
      </c>
      <c r="G12" s="18" t="n">
        <f aca="false">D12-F12</f>
        <v>15</v>
      </c>
      <c r="H12" s="18" t="n">
        <f aca="false">ROUND(E12*Assumptions!B14,0)</f>
        <v>552</v>
      </c>
      <c r="I12" s="18" t="n">
        <f aca="false">H12</f>
        <v>552</v>
      </c>
      <c r="J12" s="6" t="n">
        <f aca="false">ROUND(E12*Assumptions!B68,0)</f>
        <v>242</v>
      </c>
      <c r="K12" s="6" t="n">
        <f aca="false">ROUND(J12*Assumptions!B65,0)</f>
        <v>19</v>
      </c>
      <c r="L12" s="6" t="n">
        <f aca="false">Assumptions!B70+IF(E12&gt;Assumptions!B72,45,0)</f>
        <v>31</v>
      </c>
      <c r="M12" s="6" t="n">
        <f aca="false">Assumptions!B76+Assumptions!B77</f>
        <v>35</v>
      </c>
      <c r="N12" s="6" t="n">
        <f aca="false">Assumptions!B81+Assumptions!B82+Assumptions!B87/12</f>
        <v>50</v>
      </c>
      <c r="O12" s="6" t="n">
        <f aca="false">ROUND(I12*Assumptions!B85+E12*Assumptions!B86+W12*Assumptions!B85+ROUND(B12*Assumptions!B137*Assumptions!B138*Assumptions!B139,0)*Assumptions!B86,0)</f>
        <v>44</v>
      </c>
      <c r="P12" s="18" t="n">
        <f aca="false">K12+L12+M12+N12+O12+X12</f>
        <v>201</v>
      </c>
      <c r="Q12" s="18" t="n">
        <f aca="false">I12-P12</f>
        <v>351</v>
      </c>
      <c r="R12" s="6" t="n">
        <f aca="false">ROUND(B12*Assumptions!B51*Assumptions!B52,0)</f>
        <v>1207</v>
      </c>
      <c r="S12" s="18" t="n">
        <f aca="false">I12+R12+W12</f>
        <v>1893</v>
      </c>
      <c r="T12" s="18" t="n">
        <f aca="false">IF(U12&lt;P12*3,0,IF(U12&lt;P12*6,ROUND((Q12+R12+W12)*0.75*Assumptions!B113,0),ROUND((Q12+R12+W12)*0.75*Assumptions!B114,0)))</f>
        <v>299</v>
      </c>
      <c r="U12" s="18" t="n">
        <f aca="false">U11+Q12+R12+W12</f>
        <v>844</v>
      </c>
      <c r="V12" s="19" t="str">
        <f aca="false">IF(B12&gt;=Assumptions!B107,"Signal 6",IF(B12&gt;=Assumptions!B106,"Signal 5",IF(B12&gt;=Assumptions!B105,"Signal 4",IF(B12&gt;=Assumptions!B104,"Signal 3",IF(B12&gt;=Assumptions!B103,"Signal 2",IF(B12&gt;=Assumptions!B102,"Signal 1","Pre-Signal 1"))))))</f>
        <v>Pre-Signal 1</v>
      </c>
      <c r="W12" s="6" t="n">
        <f aca="false">ROUND(B12*Assumptions!B137*Assumptions!B138*Assumptions!B139*Assumptions!B136,0)</f>
        <v>134</v>
      </c>
      <c r="X12" s="6" t="n">
        <f aca="false">ROUND(B12*Assumptions!B137*Assumptions!B65,0)</f>
        <v>22</v>
      </c>
    </row>
    <row r="13" customFormat="false" ht="15" hidden="false" customHeight="false" outlineLevel="0" collapsed="false">
      <c r="A13" s="20" t="n">
        <v>8</v>
      </c>
      <c r="B13" s="8" t="n">
        <f aca="false">B12*(1+Assumptions!B35)</f>
        <v>3964.49362985062</v>
      </c>
      <c r="C13" s="8" t="n">
        <f aca="false">ROUND(B13*Assumptions!B25,0)</f>
        <v>79</v>
      </c>
      <c r="D13" s="8" t="n">
        <f aca="false">ROUND(B13*Assumptions!B24,0)</f>
        <v>20</v>
      </c>
      <c r="E13" s="20" t="n">
        <f aca="false">E12+D13-F13</f>
        <v>86</v>
      </c>
      <c r="F13" s="8" t="n">
        <f aca="false">ROUND(E12*Assumptions!B45,0)</f>
        <v>3</v>
      </c>
      <c r="G13" s="20" t="n">
        <f aca="false">D13-F13</f>
        <v>17</v>
      </c>
      <c r="H13" s="20" t="n">
        <f aca="false">ROUND(E13*Assumptions!B14,0)</f>
        <v>688</v>
      </c>
      <c r="I13" s="20" t="n">
        <f aca="false">H13</f>
        <v>688</v>
      </c>
      <c r="J13" s="8" t="n">
        <f aca="false">ROUND(E13*Assumptions!B68,0)</f>
        <v>301</v>
      </c>
      <c r="K13" s="8" t="n">
        <f aca="false">ROUND(J13*Assumptions!B65,0)</f>
        <v>24</v>
      </c>
      <c r="L13" s="8" t="n">
        <f aca="false">Assumptions!B70+IF(E13&gt;Assumptions!B72,45,0)</f>
        <v>31</v>
      </c>
      <c r="M13" s="8" t="n">
        <f aca="false">Assumptions!B76+Assumptions!B77</f>
        <v>35</v>
      </c>
      <c r="N13" s="8" t="n">
        <f aca="false">Assumptions!B81+Assumptions!B82+Assumptions!B87/12</f>
        <v>50</v>
      </c>
      <c r="O13" s="8" t="n">
        <f aca="false">ROUND(I13*Assumptions!B85+E13*Assumptions!B86+W13*Assumptions!B85+ROUND(B13*Assumptions!B137*Assumptions!B138*Assumptions!B139,0)*Assumptions!B86,0)</f>
        <v>54</v>
      </c>
      <c r="P13" s="20" t="n">
        <f aca="false">K13+L13+M13+N13+O13+X13</f>
        <v>219</v>
      </c>
      <c r="Q13" s="20" t="n">
        <f aca="false">I13-P13</f>
        <v>469</v>
      </c>
      <c r="R13" s="8" t="n">
        <f aca="false">ROUND(B13*Assumptions!B51*Assumptions!B52,0)</f>
        <v>1388</v>
      </c>
      <c r="S13" s="20" t="n">
        <f aca="false">I13+R13+W13</f>
        <v>2231</v>
      </c>
      <c r="T13" s="20" t="n">
        <f aca="false">IF(U13&lt;P13*3,0,IF(U13&lt;P13*6,ROUND((Q13+R13+W13)*0.75*Assumptions!B113,0),ROUND((Q13+R13+W13)*0.75*Assumptions!B114,0)))</f>
        <v>576</v>
      </c>
      <c r="U13" s="20" t="n">
        <f aca="false">U12+Q13+R13+W13</f>
        <v>2856</v>
      </c>
      <c r="V13" s="21" t="str">
        <f aca="false">IF(B13&gt;=Assumptions!B107,"Signal 6",IF(B13&gt;=Assumptions!B106,"Signal 5",IF(B13&gt;=Assumptions!B105,"Signal 4",IF(B13&gt;=Assumptions!B104,"Signal 3",IF(B13&gt;=Assumptions!B103,"Signal 2",IF(B13&gt;=Assumptions!B102,"Signal 1","Pre-Signal 1"))))))</f>
        <v>Pre-Signal 1</v>
      </c>
      <c r="W13" s="8" t="n">
        <f aca="false">ROUND(B13*Assumptions!B137*Assumptions!B138*Assumptions!B139*Assumptions!B136,0)</f>
        <v>155</v>
      </c>
      <c r="X13" s="8" t="n">
        <f aca="false">ROUND(B13*Assumptions!B137*Assumptions!B65,0)</f>
        <v>25</v>
      </c>
    </row>
    <row r="14" customFormat="false" ht="15" hidden="false" customHeight="false" outlineLevel="0" collapsed="false">
      <c r="A14" s="18" t="n">
        <v>9</v>
      </c>
      <c r="B14" s="6" t="n">
        <f aca="false">B13*(1+Assumptions!B35)</f>
        <v>4559.16767432822</v>
      </c>
      <c r="C14" s="6" t="n">
        <f aca="false">ROUND(B14*Assumptions!B25,0)</f>
        <v>91</v>
      </c>
      <c r="D14" s="6" t="n">
        <f aca="false">ROUND(B14*Assumptions!B24,0)</f>
        <v>23</v>
      </c>
      <c r="E14" s="18" t="n">
        <f aca="false">E13+D14-F14</f>
        <v>106</v>
      </c>
      <c r="F14" s="6" t="n">
        <f aca="false">ROUND(E13*Assumptions!B45,0)</f>
        <v>3</v>
      </c>
      <c r="G14" s="18" t="n">
        <f aca="false">D14-F14</f>
        <v>20</v>
      </c>
      <c r="H14" s="18" t="n">
        <f aca="false">ROUND(E14*((Assumptions!B14+Assumptions!B15)/2),0)</f>
        <v>1113</v>
      </c>
      <c r="I14" s="18" t="n">
        <f aca="false">H14</f>
        <v>1113</v>
      </c>
      <c r="J14" s="6" t="n">
        <f aca="false">ROUND(E14*Assumptions!B68,0)</f>
        <v>371</v>
      </c>
      <c r="K14" s="6" t="n">
        <f aca="false">ROUND(J14*Assumptions!B65,0)</f>
        <v>30</v>
      </c>
      <c r="L14" s="6" t="n">
        <f aca="false">Assumptions!B70+IF(E14&gt;Assumptions!B72,45,0)</f>
        <v>31</v>
      </c>
      <c r="M14" s="6" t="n">
        <f aca="false">Assumptions!B76+Assumptions!B77</f>
        <v>35</v>
      </c>
      <c r="N14" s="6" t="n">
        <f aca="false">Assumptions!B81+Assumptions!B82+Assumptions!B87/12</f>
        <v>50</v>
      </c>
      <c r="O14" s="6" t="n">
        <f aca="false">ROUND(I14*Assumptions!B85+E14*Assumptions!B86+W14*Assumptions!B85+ROUND(B14*Assumptions!B137*Assumptions!B138*Assumptions!B139,0)*Assumptions!B86,0)</f>
        <v>73</v>
      </c>
      <c r="P14" s="18" t="n">
        <f aca="false">K14+L14+M14+N14+O14+X14</f>
        <v>248</v>
      </c>
      <c r="Q14" s="18" t="n">
        <f aca="false">I14-P14</f>
        <v>865</v>
      </c>
      <c r="R14" s="6" t="n">
        <f aca="false">ROUND(B14*Assumptions!B51*Assumptions!B52,0)</f>
        <v>1596</v>
      </c>
      <c r="S14" s="18" t="n">
        <f aca="false">I14+R14+W14</f>
        <v>2887</v>
      </c>
      <c r="T14" s="18" t="n">
        <f aca="false">IF(U14&lt;P14*3,0,IF(U14&lt;P14*6,ROUND((Q14+R14+W14)*0.75*Assumptions!B113,0),ROUND((Q14+R14+W14)*0.75*Assumptions!B114,0)))</f>
        <v>756</v>
      </c>
      <c r="U14" s="18" t="n">
        <f aca="false">U13+Q14+R14+W14</f>
        <v>5495</v>
      </c>
      <c r="V14" s="19" t="str">
        <f aca="false">IF(B14&gt;=Assumptions!B107,"Signal 6",IF(B14&gt;=Assumptions!B106,"Signal 5",IF(B14&gt;=Assumptions!B105,"Signal 4",IF(B14&gt;=Assumptions!B104,"Signal 3",IF(B14&gt;=Assumptions!B103,"Signal 2",IF(B14&gt;=Assumptions!B102,"Signal 1","Pre-Signal 1"))))))</f>
        <v>Pre-Signal 1</v>
      </c>
      <c r="W14" s="6" t="n">
        <f aca="false">ROUND(B14*Assumptions!B137*Assumptions!B138*Assumptions!B139*Assumptions!B136,0)</f>
        <v>178</v>
      </c>
      <c r="X14" s="6" t="n">
        <f aca="false">ROUND(B14*Assumptions!B137*Assumptions!B65,0)</f>
        <v>29</v>
      </c>
    </row>
    <row r="15" customFormat="false" ht="15" hidden="false" customHeight="false" outlineLevel="0" collapsed="false">
      <c r="A15" s="20" t="n">
        <v>10</v>
      </c>
      <c r="B15" s="8" t="n">
        <f aca="false">B14*(1+Assumptions!B35)</f>
        <v>5243.04282547745</v>
      </c>
      <c r="C15" s="8" t="n">
        <f aca="false">ROUND(B15*Assumptions!B25,0)</f>
        <v>105</v>
      </c>
      <c r="D15" s="8" t="n">
        <f aca="false">ROUND(B15*Assumptions!B24,0)</f>
        <v>26</v>
      </c>
      <c r="E15" s="20" t="n">
        <f aca="false">E14+D15-F15</f>
        <v>128</v>
      </c>
      <c r="F15" s="8" t="n">
        <f aca="false">ROUND(E14*Assumptions!B45,0)</f>
        <v>4</v>
      </c>
      <c r="G15" s="20" t="n">
        <f aca="false">D15-F15</f>
        <v>22</v>
      </c>
      <c r="H15" s="20" t="n">
        <f aca="false">ROUND(E15*(Assumptions!B15*0.85+Assumptions!B11*0.15),0)</f>
        <v>1469</v>
      </c>
      <c r="I15" s="20" t="n">
        <f aca="false">H15</f>
        <v>1469</v>
      </c>
      <c r="J15" s="8" t="n">
        <f aca="false">ROUND(E15*Assumptions!B68,0)</f>
        <v>448</v>
      </c>
      <c r="K15" s="8" t="n">
        <f aca="false">ROUND(J15*Assumptions!B65,0)</f>
        <v>36</v>
      </c>
      <c r="L15" s="8" t="n">
        <f aca="false">Assumptions!B70+IF(E15&gt;Assumptions!B72,45,0)</f>
        <v>31</v>
      </c>
      <c r="M15" s="8" t="n">
        <f aca="false">Assumptions!B76+Assumptions!B77</f>
        <v>35</v>
      </c>
      <c r="N15" s="8" t="n">
        <f aca="false">Assumptions!B81+Assumptions!B82+Assumptions!B87/12</f>
        <v>50</v>
      </c>
      <c r="O15" s="8" t="n">
        <f aca="false">ROUND(I15*Assumptions!B85+E15*Assumptions!B86+W15*Assumptions!B85+ROUND(B15*Assumptions!B137*Assumptions!B138*Assumptions!B139,0)*Assumptions!B86,0)</f>
        <v>92</v>
      </c>
      <c r="P15" s="20" t="n">
        <f aca="false">K15+L15+M15+N15+O15+X15</f>
        <v>278</v>
      </c>
      <c r="Q15" s="20" t="n">
        <f aca="false">I15-P15</f>
        <v>1191</v>
      </c>
      <c r="R15" s="8" t="n">
        <f aca="false">ROUND(B15*Assumptions!B51*Assumptions!B52,0)</f>
        <v>1835</v>
      </c>
      <c r="S15" s="20" t="n">
        <f aca="false">I15+R15+W15</f>
        <v>3508</v>
      </c>
      <c r="T15" s="20" t="n">
        <f aca="false">IF(U15&lt;P15*3,0,IF(U15&lt;P15*6,ROUND((Q15+R15+W15)*0.75*Assumptions!B113,0),ROUND((Q15+R15+W15)*0.75*Assumptions!B114,0)))</f>
        <v>925</v>
      </c>
      <c r="U15" s="20" t="n">
        <f aca="false">U14+Q15+R15+W15</f>
        <v>8725</v>
      </c>
      <c r="V15" s="21" t="str">
        <f aca="false">IF(B15&gt;=Assumptions!B107,"Signal 6",IF(B15&gt;=Assumptions!B106,"Signal 5",IF(B15&gt;=Assumptions!B105,"Signal 4",IF(B15&gt;=Assumptions!B104,"Signal 3",IF(B15&gt;=Assumptions!B103,"Signal 2",IF(B15&gt;=Assumptions!B102,"Signal 1","Pre-Signal 1"))))))</f>
        <v>Pre-Signal 1</v>
      </c>
      <c r="W15" s="8" t="n">
        <f aca="false">ROUND(B15*Assumptions!B137*Assumptions!B138*Assumptions!B139*Assumptions!B136,0)</f>
        <v>204</v>
      </c>
      <c r="X15" s="8" t="n">
        <f aca="false">ROUND(B15*Assumptions!B137*Assumptions!B65,0)</f>
        <v>34</v>
      </c>
    </row>
    <row r="16" customFormat="false" ht="15" hidden="false" customHeight="false" outlineLevel="0" collapsed="false">
      <c r="A16" s="18" t="n">
        <v>11</v>
      </c>
      <c r="B16" s="6" t="n">
        <f aca="false">B15*(1+Assumptions!B35)</f>
        <v>6029.49924929907</v>
      </c>
      <c r="C16" s="6" t="n">
        <f aca="false">ROUND(B16*Assumptions!B25,0)</f>
        <v>121</v>
      </c>
      <c r="D16" s="6" t="n">
        <f aca="false">ROUND(B16*Assumptions!B24,0)</f>
        <v>30</v>
      </c>
      <c r="E16" s="18" t="n">
        <f aca="false">E15+D16-F16</f>
        <v>153</v>
      </c>
      <c r="F16" s="6" t="n">
        <f aca="false">ROUND(E15*Assumptions!B45,0)</f>
        <v>5</v>
      </c>
      <c r="G16" s="18" t="n">
        <f aca="false">D16-F16</f>
        <v>25</v>
      </c>
      <c r="H16" s="18" t="n">
        <f aca="false">ROUND(E16*(Assumptions!B15*0.85+Assumptions!B11*0.15),0)</f>
        <v>1756</v>
      </c>
      <c r="I16" s="18" t="n">
        <f aca="false">H16</f>
        <v>1756</v>
      </c>
      <c r="J16" s="6" t="n">
        <f aca="false">ROUND(E16*Assumptions!B68,0)</f>
        <v>536</v>
      </c>
      <c r="K16" s="6" t="n">
        <f aca="false">ROUND(J16*Assumptions!B65,0)</f>
        <v>43</v>
      </c>
      <c r="L16" s="6" t="n">
        <f aca="false">Assumptions!B70+IF(E16&gt;Assumptions!B72,45,0)</f>
        <v>31</v>
      </c>
      <c r="M16" s="6" t="n">
        <f aca="false">Assumptions!B76+Assumptions!B77</f>
        <v>35</v>
      </c>
      <c r="N16" s="6" t="n">
        <f aca="false">Assumptions!B81+Assumptions!B82+Assumptions!B87/12</f>
        <v>50</v>
      </c>
      <c r="O16" s="6" t="n">
        <f aca="false">ROUND(I16*Assumptions!B85+E16*Assumptions!B86+W16*Assumptions!B85+ROUND(B16*Assumptions!B137*Assumptions!B138*Assumptions!B139,0)*Assumptions!B86,0)</f>
        <v>109</v>
      </c>
      <c r="P16" s="18" t="n">
        <f aca="false">K16+L16+M16+N16+O16+X16</f>
        <v>307</v>
      </c>
      <c r="Q16" s="18" t="n">
        <f aca="false">I16-P16</f>
        <v>1449</v>
      </c>
      <c r="R16" s="6" t="n">
        <f aca="false">ROUND(B16*Assumptions!B51*Assumptions!B52,0)</f>
        <v>2110</v>
      </c>
      <c r="S16" s="18" t="n">
        <f aca="false">I16+R16+W16</f>
        <v>4101</v>
      </c>
      <c r="T16" s="18" t="n">
        <f aca="false">IF(U16&lt;P16*3,0,IF(U16&lt;P16*6,ROUND((Q16+R16+W16)*0.75*Assumptions!B113,0),ROUND((Q16+R16+W16)*0.75*Assumptions!B114,0)))</f>
        <v>1087</v>
      </c>
      <c r="U16" s="18" t="n">
        <f aca="false">U15+Q16+R16+W16</f>
        <v>12519</v>
      </c>
      <c r="V16" s="19" t="str">
        <f aca="false">IF(B16&gt;=Assumptions!B107,"Signal 6",IF(B16&gt;=Assumptions!B106,"Signal 5",IF(B16&gt;=Assumptions!B105,"Signal 4",IF(B16&gt;=Assumptions!B104,"Signal 3",IF(B16&gt;=Assumptions!B103,"Signal 2",IF(B16&gt;=Assumptions!B102,"Signal 1","Pre-Signal 1"))))))</f>
        <v>Pre-Signal 1</v>
      </c>
      <c r="W16" s="6" t="n">
        <f aca="false">ROUND(B16*Assumptions!B137*Assumptions!B138*Assumptions!B139*Assumptions!B136,0)</f>
        <v>235</v>
      </c>
      <c r="X16" s="6" t="n">
        <f aca="false">ROUND(B16*Assumptions!B137*Assumptions!B65,0)</f>
        <v>39</v>
      </c>
    </row>
    <row r="17" customFormat="false" ht="15" hidden="false" customHeight="false" outlineLevel="0" collapsed="false">
      <c r="A17" s="20" t="n">
        <v>12</v>
      </c>
      <c r="B17" s="8" t="n">
        <f aca="false">B16*(1+Assumptions!B35)</f>
        <v>6933.92413669392</v>
      </c>
      <c r="C17" s="8" t="n">
        <f aca="false">ROUND(B17*Assumptions!B25,0)</f>
        <v>139</v>
      </c>
      <c r="D17" s="8" t="n">
        <f aca="false">ROUND(B17*Assumptions!B24,0)</f>
        <v>35</v>
      </c>
      <c r="E17" s="20" t="n">
        <f aca="false">E16+D17-F17</f>
        <v>182</v>
      </c>
      <c r="F17" s="8" t="n">
        <f aca="false">ROUND(E16*Assumptions!B45,0)</f>
        <v>6</v>
      </c>
      <c r="G17" s="20" t="n">
        <f aca="false">D17-F17</f>
        <v>29</v>
      </c>
      <c r="H17" s="20" t="n">
        <f aca="false">ROUND(E17*(Assumptions!B15*0.85+Assumptions!B11*0.15),0)</f>
        <v>2088</v>
      </c>
      <c r="I17" s="20" t="n">
        <f aca="false">H17</f>
        <v>2088</v>
      </c>
      <c r="J17" s="8" t="n">
        <f aca="false">ROUND(E17*Assumptions!B68,0)</f>
        <v>637</v>
      </c>
      <c r="K17" s="8" t="n">
        <f aca="false">ROUND(J17*Assumptions!B65,0)</f>
        <v>51</v>
      </c>
      <c r="L17" s="8" t="n">
        <f aca="false">Assumptions!B70+IF(E17&gt;Assumptions!B72,45,0)</f>
        <v>31</v>
      </c>
      <c r="M17" s="8" t="n">
        <f aca="false">Assumptions!B76+Assumptions!B77</f>
        <v>35</v>
      </c>
      <c r="N17" s="8" t="n">
        <f aca="false">Assumptions!B81+Assumptions!B82+Assumptions!B87/12</f>
        <v>50</v>
      </c>
      <c r="O17" s="8" t="n">
        <f aca="false">ROUND(I17*Assumptions!B85+E17*Assumptions!B86+W17*Assumptions!B85+ROUND(B17*Assumptions!B137*Assumptions!B138*Assumptions!B139,0)*Assumptions!B86,0)</f>
        <v>129</v>
      </c>
      <c r="P17" s="20" t="n">
        <f aca="false">K17+L17+M17+N17+O17+X17</f>
        <v>340</v>
      </c>
      <c r="Q17" s="20" t="n">
        <f aca="false">I17-P17</f>
        <v>1748</v>
      </c>
      <c r="R17" s="8" t="n">
        <f aca="false">ROUND(B17*Assumptions!B51*Assumptions!B52,0)</f>
        <v>2427</v>
      </c>
      <c r="S17" s="20" t="n">
        <f aca="false">I17+R17+W17</f>
        <v>4785</v>
      </c>
      <c r="T17" s="20" t="n">
        <f aca="false">IF(U17&lt;P17*3,0,IF(U17&lt;P17*6,ROUND((Q17+R17+W17)*0.75*Assumptions!B113,0),ROUND((Q17+R17+W17)*0.75*Assumptions!B114,0)))</f>
        <v>1273</v>
      </c>
      <c r="U17" s="20" t="n">
        <f aca="false">U16+Q17+R17+W17</f>
        <v>16964</v>
      </c>
      <c r="V17" s="21" t="str">
        <f aca="false">IF(B17&gt;=Assumptions!B107,"Signal 6",IF(B17&gt;=Assumptions!B106,"Signal 5",IF(B17&gt;=Assumptions!B105,"Signal 4",IF(B17&gt;=Assumptions!B104,"Signal 3",IF(B17&gt;=Assumptions!B103,"Signal 2",IF(B17&gt;=Assumptions!B102,"Signal 1","Pre-Signal 1"))))))</f>
        <v>Pre-Signal 1</v>
      </c>
      <c r="W17" s="8" t="n">
        <f aca="false">ROUND(B17*Assumptions!B137*Assumptions!B138*Assumptions!B139*Assumptions!B136,0)</f>
        <v>270</v>
      </c>
      <c r="X17" s="8" t="n">
        <f aca="false">ROUND(B17*Assumptions!B137*Assumptions!B65,0)</f>
        <v>44</v>
      </c>
    </row>
    <row r="18" customFormat="false" ht="15" hidden="false" customHeight="false" outlineLevel="0" collapsed="false">
      <c r="A18" s="18" t="n">
        <v>13</v>
      </c>
      <c r="B18" s="6" t="n">
        <f aca="false">B17*(1+Assumptions!B35)</f>
        <v>7974.01275719801</v>
      </c>
      <c r="C18" s="6" t="n">
        <f aca="false">ROUND(B18*Assumptions!B25,0)</f>
        <v>159</v>
      </c>
      <c r="D18" s="6" t="n">
        <f aca="false">ROUND(B18*Assumptions!B24,0)</f>
        <v>40</v>
      </c>
      <c r="E18" s="18" t="n">
        <f aca="false">E17+D18-F18</f>
        <v>215</v>
      </c>
      <c r="F18" s="6" t="n">
        <f aca="false">ROUND(E17*Assumptions!B45,0)</f>
        <v>7</v>
      </c>
      <c r="G18" s="18" t="n">
        <f aca="false">D18-F18</f>
        <v>33</v>
      </c>
      <c r="H18" s="18" t="n">
        <f aca="false">ROUND(E18*(Assumptions!B15*0.85+Assumptions!B11*0.15),0)</f>
        <v>2467</v>
      </c>
      <c r="I18" s="18" t="n">
        <f aca="false">H18</f>
        <v>2467</v>
      </c>
      <c r="J18" s="6" t="n">
        <f aca="false">ROUND(E18*Assumptions!B68,0)</f>
        <v>753</v>
      </c>
      <c r="K18" s="6" t="n">
        <f aca="false">ROUND(J18*Assumptions!B65,0)</f>
        <v>60</v>
      </c>
      <c r="L18" s="6" t="n">
        <f aca="false">Assumptions!B70+IF(E18&gt;Assumptions!B72,45,0)</f>
        <v>31</v>
      </c>
      <c r="M18" s="6" t="n">
        <f aca="false">Assumptions!B76+Assumptions!B77</f>
        <v>35</v>
      </c>
      <c r="N18" s="6" t="n">
        <f aca="false">Assumptions!B81+Assumptions!B82+Assumptions!B87/12+Assumptions!B84</f>
        <v>92</v>
      </c>
      <c r="O18" s="6" t="n">
        <f aca="false">ROUND(I18*Assumptions!B85+E18*Assumptions!B86+W18*Assumptions!B85+ROUND(B18*Assumptions!B137*Assumptions!B138*Assumptions!B139,0)*Assumptions!B86,0)</f>
        <v>152</v>
      </c>
      <c r="P18" s="18" t="n">
        <f aca="false">K18+L18+M18+N18+O18+X18</f>
        <v>421</v>
      </c>
      <c r="Q18" s="18" t="n">
        <f aca="false">I18-P18</f>
        <v>2046</v>
      </c>
      <c r="R18" s="6" t="n">
        <f aca="false">ROUND(B18*Assumptions!B51*Assumptions!B52,0)</f>
        <v>2791</v>
      </c>
      <c r="S18" s="18" t="n">
        <f aca="false">I18+R18+W18</f>
        <v>5569</v>
      </c>
      <c r="T18" s="18" t="n">
        <f aca="false">IF(U18&lt;P18*3,0,IF(U18&lt;P18*6,ROUND((Q18+R18+W18)*0.75*Assumptions!B113,0),ROUND((Q18+R18+W18)*0.75*Assumptions!B114,0)))</f>
        <v>1475</v>
      </c>
      <c r="U18" s="18" t="n">
        <f aca="false">U17+Q18+R18+W18</f>
        <v>22112</v>
      </c>
      <c r="V18" s="19" t="str">
        <f aca="false">IF(B18&gt;=Assumptions!B107,"Signal 6",IF(B18&gt;=Assumptions!B106,"Signal 5",IF(B18&gt;=Assumptions!B105,"Signal 4",IF(B18&gt;=Assumptions!B104,"Signal 3",IF(B18&gt;=Assumptions!B103,"Signal 2",IF(B18&gt;=Assumptions!B102,"Signal 1","Pre-Signal 1"))))))</f>
        <v>Pre-Signal 1</v>
      </c>
      <c r="W18" s="6" t="n">
        <f aca="false">ROUND(B18*Assumptions!B137*Assumptions!B138*Assumptions!B139*Assumptions!B136,0)</f>
        <v>311</v>
      </c>
      <c r="X18" s="6" t="n">
        <f aca="false">ROUND(B18*Assumptions!B137*Assumptions!B65,0)</f>
        <v>51</v>
      </c>
    </row>
    <row r="19" customFormat="false" ht="15" hidden="false" customHeight="false" outlineLevel="0" collapsed="false">
      <c r="A19" s="20" t="n">
        <v>14</v>
      </c>
      <c r="B19" s="8" t="n">
        <f aca="false">B18*(1+Assumptions!B35)</f>
        <v>9170.11467077771</v>
      </c>
      <c r="C19" s="8" t="n">
        <f aca="false">ROUND(B19*Assumptions!B25,0)</f>
        <v>183</v>
      </c>
      <c r="D19" s="8" t="n">
        <f aca="false">ROUND(B19*Assumptions!B24,0)</f>
        <v>46</v>
      </c>
      <c r="E19" s="20" t="n">
        <f aca="false">E18+D19-F19</f>
        <v>252</v>
      </c>
      <c r="F19" s="8" t="n">
        <f aca="false">ROUND(E18*Assumptions!B45,0)</f>
        <v>9</v>
      </c>
      <c r="G19" s="20" t="n">
        <f aca="false">D19-F19</f>
        <v>37</v>
      </c>
      <c r="H19" s="20" t="n">
        <f aca="false">ROUND(E19*(Assumptions!B15*0.85+Assumptions!B11*0.15),0)</f>
        <v>2892</v>
      </c>
      <c r="I19" s="20" t="n">
        <f aca="false">H19</f>
        <v>2892</v>
      </c>
      <c r="J19" s="8" t="n">
        <f aca="false">ROUND(E19*Assumptions!B68,0)</f>
        <v>882</v>
      </c>
      <c r="K19" s="8" t="n">
        <f aca="false">ROUND(J19*Assumptions!B65,0)</f>
        <v>71</v>
      </c>
      <c r="L19" s="8" t="n">
        <f aca="false">Assumptions!B70+IF(E19&gt;Assumptions!B72,45,0)</f>
        <v>31</v>
      </c>
      <c r="M19" s="8" t="n">
        <f aca="false">Assumptions!B76+Assumptions!B77</f>
        <v>35</v>
      </c>
      <c r="N19" s="8" t="n">
        <f aca="false">Assumptions!B81+Assumptions!B82+Assumptions!B87/12+Assumptions!B84</f>
        <v>92</v>
      </c>
      <c r="O19" s="8" t="n">
        <f aca="false">ROUND(I19*Assumptions!B85+E19*Assumptions!B86+W19*Assumptions!B85+ROUND(B19*Assumptions!B137*Assumptions!B138*Assumptions!B139,0)*Assumptions!B86,0)</f>
        <v>178</v>
      </c>
      <c r="P19" s="20" t="n">
        <f aca="false">K19+L19+M19+N19+O19+X19</f>
        <v>466</v>
      </c>
      <c r="Q19" s="20" t="n">
        <f aca="false">I19-P19</f>
        <v>2426</v>
      </c>
      <c r="R19" s="8" t="n">
        <f aca="false">ROUND(B19*Assumptions!B51*Assumptions!B52,0)</f>
        <v>3210</v>
      </c>
      <c r="S19" s="20" t="n">
        <f aca="false">I19+R19+W19</f>
        <v>6460</v>
      </c>
      <c r="T19" s="20" t="n">
        <f aca="false">IF(U19&lt;P19*3,0,IF(U19&lt;P19*6,ROUND((Q19+R19+W19)*0.75*Assumptions!B113,0),ROUND((Q19+R19+W19)*0.75*Assumptions!B114,0)))</f>
        <v>1717</v>
      </c>
      <c r="U19" s="20" t="n">
        <f aca="false">U18+Q19+R19+W19</f>
        <v>28106</v>
      </c>
      <c r="V19" s="21" t="str">
        <f aca="false">IF(B19&gt;=Assumptions!B107,"Signal 6",IF(B19&gt;=Assumptions!B106,"Signal 5",IF(B19&gt;=Assumptions!B105,"Signal 4",IF(B19&gt;=Assumptions!B104,"Signal 3",IF(B19&gt;=Assumptions!B103,"Signal 2",IF(B19&gt;=Assumptions!B102,"Signal 1","Pre-Signal 1"))))))</f>
        <v>Pre-Signal 1</v>
      </c>
      <c r="W19" s="8" t="n">
        <f aca="false">ROUND(B19*Assumptions!B137*Assumptions!B138*Assumptions!B139*Assumptions!B136,0)</f>
        <v>358</v>
      </c>
      <c r="X19" s="8" t="n">
        <f aca="false">ROUND(B19*Assumptions!B137*Assumptions!B65,0)</f>
        <v>59</v>
      </c>
    </row>
    <row r="20" customFormat="false" ht="15" hidden="false" customHeight="false" outlineLevel="0" collapsed="false">
      <c r="A20" s="18" t="n">
        <v>15</v>
      </c>
      <c r="B20" s="6" t="n">
        <f aca="false">B19*(1+Assumptions!B35)</f>
        <v>10545.6318713944</v>
      </c>
      <c r="C20" s="6" t="n">
        <f aca="false">ROUND(B20*Assumptions!B25,0)</f>
        <v>211</v>
      </c>
      <c r="D20" s="6" t="n">
        <f aca="false">ROUND(B20*Assumptions!B24,0)</f>
        <v>53</v>
      </c>
      <c r="E20" s="18" t="n">
        <f aca="false">E19+D20-F20</f>
        <v>295</v>
      </c>
      <c r="F20" s="6" t="n">
        <f aca="false">ROUND(E19*Assumptions!B45,0)</f>
        <v>10</v>
      </c>
      <c r="G20" s="18" t="n">
        <f aca="false">D20-F20</f>
        <v>43</v>
      </c>
      <c r="H20" s="18" t="n">
        <f aca="false">ROUND(E20*(Assumptions!B15*0.85+Assumptions!B11*0.15),0)</f>
        <v>3385</v>
      </c>
      <c r="I20" s="18" t="n">
        <f aca="false">H20</f>
        <v>3385</v>
      </c>
      <c r="J20" s="6" t="n">
        <f aca="false">ROUND(E20*Assumptions!B68,0)</f>
        <v>1033</v>
      </c>
      <c r="K20" s="6" t="n">
        <f aca="false">ROUND(J20*Assumptions!B65,0)</f>
        <v>83</v>
      </c>
      <c r="L20" s="6" t="n">
        <f aca="false">Assumptions!B70+IF(E20&gt;Assumptions!B72,45,0)</f>
        <v>31</v>
      </c>
      <c r="M20" s="6" t="n">
        <f aca="false">Assumptions!B76+Assumptions!B77</f>
        <v>35</v>
      </c>
      <c r="N20" s="6" t="n">
        <f aca="false">Assumptions!B81+Assumptions!B82+Assumptions!B87/12+Assumptions!B84</f>
        <v>92</v>
      </c>
      <c r="O20" s="6" t="n">
        <f aca="false">ROUND(I20*Assumptions!B85+E20*Assumptions!B86+W20*Assumptions!B85+ROUND(B20*Assumptions!B137*Assumptions!B138*Assumptions!B139,0)*Assumptions!B86,0)</f>
        <v>208</v>
      </c>
      <c r="P20" s="18" t="n">
        <f aca="false">K20+L20+M20+N20+O20+X20</f>
        <v>516</v>
      </c>
      <c r="Q20" s="18" t="n">
        <f aca="false">I20-P20</f>
        <v>2869</v>
      </c>
      <c r="R20" s="6" t="n">
        <f aca="false">ROUND(B20*Assumptions!B51*Assumptions!B52,0)</f>
        <v>3691</v>
      </c>
      <c r="S20" s="18" t="n">
        <f aca="false">I20+R20+W20</f>
        <v>7487</v>
      </c>
      <c r="T20" s="18" t="n">
        <f aca="false">IF(U20&lt;P20*3,0,IF(U20&lt;P20*6,ROUND((Q20+R20+W20)*0.75*Assumptions!B113,0),ROUND((Q20+R20+W20)*0.75*Assumptions!B114,0)))</f>
        <v>1997</v>
      </c>
      <c r="U20" s="18" t="n">
        <f aca="false">U19+Q20+R20+W20</f>
        <v>35077</v>
      </c>
      <c r="V20" s="19" t="str">
        <f aca="false">IF(B20&gt;=Assumptions!B107,"Signal 6",IF(B20&gt;=Assumptions!B106,"Signal 5",IF(B20&gt;=Assumptions!B105,"Signal 4",IF(B20&gt;=Assumptions!B104,"Signal 3",IF(B20&gt;=Assumptions!B103,"Signal 2",IF(B20&gt;=Assumptions!B102,"Signal 1","Pre-Signal 1"))))))</f>
        <v>Signal 1</v>
      </c>
      <c r="W20" s="6" t="n">
        <f aca="false">ROUND(B20*Assumptions!B137*Assumptions!B138*Assumptions!B139*Assumptions!B136,0)</f>
        <v>411</v>
      </c>
      <c r="X20" s="6" t="n">
        <f aca="false">ROUND(B20*Assumptions!B137*Assumptions!B65,0)</f>
        <v>67</v>
      </c>
    </row>
    <row r="21" customFormat="false" ht="15" hidden="false" customHeight="false" outlineLevel="0" collapsed="false">
      <c r="A21" s="20" t="n">
        <v>16</v>
      </c>
      <c r="B21" s="8" t="n">
        <f aca="false">B20*(1+Assumptions!B35)</f>
        <v>12127.4766521035</v>
      </c>
      <c r="C21" s="8" t="n">
        <f aca="false">ROUND(B21*Assumptions!B25,0)</f>
        <v>243</v>
      </c>
      <c r="D21" s="8" t="n">
        <f aca="false">ROUND(B21*Assumptions!B24,0)</f>
        <v>61</v>
      </c>
      <c r="E21" s="20" t="n">
        <f aca="false">E20+D21-F21</f>
        <v>344</v>
      </c>
      <c r="F21" s="8" t="n">
        <f aca="false">ROUND(E20*Assumptions!B45,0)</f>
        <v>12</v>
      </c>
      <c r="G21" s="20" t="n">
        <f aca="false">D21-F21</f>
        <v>49</v>
      </c>
      <c r="H21" s="20" t="n">
        <f aca="false">ROUND(E21*(Assumptions!B15*0.85+Assumptions!B11*0.15),0)</f>
        <v>3947</v>
      </c>
      <c r="I21" s="20" t="n">
        <f aca="false">H21</f>
        <v>3947</v>
      </c>
      <c r="J21" s="8" t="n">
        <f aca="false">ROUND(E21*Assumptions!B68,0)</f>
        <v>1204</v>
      </c>
      <c r="K21" s="8" t="n">
        <f aca="false">ROUND(J21*Assumptions!B65,0)</f>
        <v>96</v>
      </c>
      <c r="L21" s="8" t="n">
        <f aca="false">Assumptions!B70+IF(E21&gt;Assumptions!B72,45,0)</f>
        <v>31</v>
      </c>
      <c r="M21" s="8" t="n">
        <f aca="false">Assumptions!B76+Assumptions!B77</f>
        <v>35</v>
      </c>
      <c r="N21" s="8" t="n">
        <f aca="false">Assumptions!B81+Assumptions!B82+Assumptions!B87/12+Assumptions!B84</f>
        <v>92</v>
      </c>
      <c r="O21" s="8" t="n">
        <f aca="false">ROUND(I21*Assumptions!B85+E21*Assumptions!B86+W21*Assumptions!B85+ROUND(B21*Assumptions!B137*Assumptions!B138*Assumptions!B139,0)*Assumptions!B86,0)</f>
        <v>242</v>
      </c>
      <c r="P21" s="20" t="n">
        <f aca="false">K21+L21+M21+N21+O21+X21</f>
        <v>574</v>
      </c>
      <c r="Q21" s="20" t="n">
        <f aca="false">I21-P21</f>
        <v>3373</v>
      </c>
      <c r="R21" s="8" t="n">
        <f aca="false">ROUND(B21*Assumptions!B51*Assumptions!B52,0)</f>
        <v>4245</v>
      </c>
      <c r="S21" s="20" t="n">
        <f aca="false">I21+R21+W21</f>
        <v>8665</v>
      </c>
      <c r="T21" s="20" t="n">
        <f aca="false">IF(U21&lt;P21*3,0,IF(U21&lt;P21*6,ROUND((Q21+R21+W21)*0.75*Assumptions!B113,0),ROUND((Q21+R21+W21)*0.75*Assumptions!B114,0)))</f>
        <v>2318</v>
      </c>
      <c r="U21" s="20" t="n">
        <f aca="false">U20+Q21+R21+W21</f>
        <v>43168</v>
      </c>
      <c r="V21" s="21" t="str">
        <f aca="false">IF(B21&gt;=Assumptions!B107,"Signal 6",IF(B21&gt;=Assumptions!B106,"Signal 5",IF(B21&gt;=Assumptions!B105,"Signal 4",IF(B21&gt;=Assumptions!B104,"Signal 3",IF(B21&gt;=Assumptions!B103,"Signal 2",IF(B21&gt;=Assumptions!B102,"Signal 1","Pre-Signal 1"))))))</f>
        <v>Signal 1</v>
      </c>
      <c r="W21" s="8" t="n">
        <f aca="false">ROUND(B21*Assumptions!B137*Assumptions!B138*Assumptions!B139*Assumptions!B136,0)</f>
        <v>473</v>
      </c>
      <c r="X21" s="8" t="n">
        <f aca="false">ROUND(B21*Assumptions!B137*Assumptions!B65,0)</f>
        <v>78</v>
      </c>
    </row>
    <row r="22" customFormat="false" ht="15" hidden="false" customHeight="false" outlineLevel="0" collapsed="false">
      <c r="A22" s="18" t="n">
        <v>17</v>
      </c>
      <c r="B22" s="6" t="n">
        <f aca="false">B21*(1+Assumptions!B35)</f>
        <v>13946.5981499191</v>
      </c>
      <c r="C22" s="6" t="n">
        <f aca="false">ROUND(B22*Assumptions!B25,0)</f>
        <v>279</v>
      </c>
      <c r="D22" s="6" t="n">
        <f aca="false">ROUND(B22*Assumptions!B24,0)</f>
        <v>70</v>
      </c>
      <c r="E22" s="18" t="n">
        <f aca="false">E21+D22-F22</f>
        <v>400</v>
      </c>
      <c r="F22" s="6" t="n">
        <f aca="false">ROUND(E21*Assumptions!B45,0)</f>
        <v>14</v>
      </c>
      <c r="G22" s="18" t="n">
        <f aca="false">D22-F22</f>
        <v>56</v>
      </c>
      <c r="H22" s="18" t="n">
        <f aca="false">ROUND(E22*(Assumptions!B15*0.85+Assumptions!B11*0.15),0)</f>
        <v>4590</v>
      </c>
      <c r="I22" s="18" t="n">
        <f aca="false">H22</f>
        <v>4590</v>
      </c>
      <c r="J22" s="6" t="n">
        <f aca="false">ROUND(E22*Assumptions!B68,0)</f>
        <v>1400</v>
      </c>
      <c r="K22" s="6" t="n">
        <f aca="false">ROUND(J22*Assumptions!B65,0)</f>
        <v>112</v>
      </c>
      <c r="L22" s="6" t="n">
        <f aca="false">Assumptions!B70+IF(E22&gt;Assumptions!B72,45,0)</f>
        <v>31</v>
      </c>
      <c r="M22" s="6" t="n">
        <f aca="false">Assumptions!B76+Assumptions!B77</f>
        <v>35</v>
      </c>
      <c r="N22" s="6" t="n">
        <f aca="false">Assumptions!B81+Assumptions!B82+Assumptions!B87/12+Assumptions!B84</f>
        <v>92</v>
      </c>
      <c r="O22" s="6" t="n">
        <f aca="false">ROUND(I22*Assumptions!B85+E22*Assumptions!B86+W22*Assumptions!B85+ROUND(B22*Assumptions!B137*Assumptions!B138*Assumptions!B139,0)*Assumptions!B86,0)</f>
        <v>281</v>
      </c>
      <c r="P22" s="18" t="n">
        <f aca="false">K22+L22+M22+N22+O22+X22</f>
        <v>640</v>
      </c>
      <c r="Q22" s="18" t="n">
        <f aca="false">I22-P22</f>
        <v>3950</v>
      </c>
      <c r="R22" s="6" t="n">
        <f aca="false">ROUND(B22*Assumptions!B51*Assumptions!B52,0)</f>
        <v>4881</v>
      </c>
      <c r="S22" s="18" t="n">
        <f aca="false">I22+R22+W22</f>
        <v>10015</v>
      </c>
      <c r="T22" s="18" t="n">
        <f aca="false">IF(U22&lt;P22*3,0,IF(U22&lt;P22*6,ROUND((Q22+R22+W22)*0.75*Assumptions!B113,0),ROUND((Q22+R22+W22)*0.75*Assumptions!B114,0)))</f>
        <v>2686</v>
      </c>
      <c r="U22" s="18" t="n">
        <f aca="false">U21+Q22+R22+W22</f>
        <v>52543</v>
      </c>
      <c r="V22" s="19" t="str">
        <f aca="false">IF(B22&gt;=Assumptions!B107,"Signal 6",IF(B22&gt;=Assumptions!B106,"Signal 5",IF(B22&gt;=Assumptions!B105,"Signal 4",IF(B22&gt;=Assumptions!B104,"Signal 3",IF(B22&gt;=Assumptions!B103,"Signal 2",IF(B22&gt;=Assumptions!B102,"Signal 1","Pre-Signal 1"))))))</f>
        <v>Signal 1</v>
      </c>
      <c r="W22" s="6" t="n">
        <f aca="false">ROUND(B22*Assumptions!B137*Assumptions!B138*Assumptions!B139*Assumptions!B136,0)</f>
        <v>544</v>
      </c>
      <c r="X22" s="6" t="n">
        <f aca="false">ROUND(B22*Assumptions!B137*Assumptions!B65,0)</f>
        <v>89</v>
      </c>
    </row>
    <row r="23" customFormat="false" ht="15" hidden="false" customHeight="false" outlineLevel="0" collapsed="false">
      <c r="A23" s="20" t="n">
        <v>18</v>
      </c>
      <c r="B23" s="8" t="n">
        <f aca="false">B22*(1+Assumptions!B35)</f>
        <v>16038.5878724069</v>
      </c>
      <c r="C23" s="8" t="n">
        <f aca="false">ROUND(B23*Assumptions!B25,0)</f>
        <v>321</v>
      </c>
      <c r="D23" s="8" t="n">
        <f aca="false">ROUND(B23*Assumptions!B24,0)</f>
        <v>80</v>
      </c>
      <c r="E23" s="20" t="n">
        <f aca="false">E22+D23-F23</f>
        <v>464</v>
      </c>
      <c r="F23" s="8" t="n">
        <f aca="false">ROUND(E22*Assumptions!B45,0)</f>
        <v>16</v>
      </c>
      <c r="G23" s="20" t="n">
        <f aca="false">D23-F23</f>
        <v>64</v>
      </c>
      <c r="H23" s="20" t="n">
        <f aca="false">ROUND(E23*(Assumptions!B15*0.85+Assumptions!B11*0.15),0)</f>
        <v>5324</v>
      </c>
      <c r="I23" s="20" t="n">
        <f aca="false">H23</f>
        <v>5324</v>
      </c>
      <c r="J23" s="8" t="n">
        <f aca="false">ROUND(E23*Assumptions!B68,0)</f>
        <v>1624</v>
      </c>
      <c r="K23" s="8" t="n">
        <f aca="false">ROUND(J23*Assumptions!B65,0)</f>
        <v>130</v>
      </c>
      <c r="L23" s="8" t="n">
        <f aca="false">Assumptions!B70+IF(E23&gt;Assumptions!B72,45,0)</f>
        <v>31</v>
      </c>
      <c r="M23" s="8" t="n">
        <f aca="false">Assumptions!B76+Assumptions!B77</f>
        <v>35</v>
      </c>
      <c r="N23" s="8" t="n">
        <f aca="false">Assumptions!B81+Assumptions!B82+Assumptions!B87/12+Assumptions!B84</f>
        <v>92</v>
      </c>
      <c r="O23" s="8" t="n">
        <f aca="false">ROUND(I23*Assumptions!B85+E23*Assumptions!B86+W23*Assumptions!B85+ROUND(B23*Assumptions!B137*Assumptions!B138*Assumptions!B139,0)*Assumptions!B86,0)</f>
        <v>326</v>
      </c>
      <c r="P23" s="20" t="n">
        <f aca="false">K23+L23+M23+N23+O23+X23</f>
        <v>717</v>
      </c>
      <c r="Q23" s="20" t="n">
        <f aca="false">I23-P23</f>
        <v>4607</v>
      </c>
      <c r="R23" s="8" t="n">
        <f aca="false">ROUND(B23*Assumptions!B51*Assumptions!B52,0)</f>
        <v>5614</v>
      </c>
      <c r="S23" s="20" t="n">
        <f aca="false">I23+R23+W23</f>
        <v>11564</v>
      </c>
      <c r="T23" s="20" t="n">
        <f aca="false">IF(U23&lt;P23*3,0,IF(U23&lt;P23*6,ROUND((Q23+R23+W23)*0.75*Assumptions!B113,0),ROUND((Q23+R23+W23)*0.75*Assumptions!B114,0)))</f>
        <v>3108</v>
      </c>
      <c r="U23" s="20" t="n">
        <f aca="false">U22+Q23+R23+W23</f>
        <v>63390</v>
      </c>
      <c r="V23" s="21" t="str">
        <f aca="false">IF(B23&gt;=Assumptions!B107,"Signal 6",IF(B23&gt;=Assumptions!B106,"Signal 5",IF(B23&gt;=Assumptions!B105,"Signal 4",IF(B23&gt;=Assumptions!B104,"Signal 3",IF(B23&gt;=Assumptions!B103,"Signal 2",IF(B23&gt;=Assumptions!B102,"Signal 1","Pre-Signal 1"))))))</f>
        <v>Signal 1</v>
      </c>
      <c r="W23" s="8" t="n">
        <f aca="false">ROUND(B23*Assumptions!B137*Assumptions!B138*Assumptions!B139*Assumptions!B136,0)</f>
        <v>626</v>
      </c>
      <c r="X23" s="8" t="n">
        <f aca="false">ROUND(B23*Assumptions!B137*Assumptions!B65,0)</f>
        <v>103</v>
      </c>
    </row>
    <row r="24" customFormat="false" ht="15" hidden="false" customHeight="false" outlineLevel="0" collapsed="false">
      <c r="A24" s="18" t="n">
        <v>19</v>
      </c>
      <c r="B24" s="6" t="n">
        <f aca="false">B23*(1+Assumptions!B35)</f>
        <v>18444.3760532679</v>
      </c>
      <c r="C24" s="6" t="n">
        <f aca="false">ROUND(B24*Assumptions!B25,0)</f>
        <v>369</v>
      </c>
      <c r="D24" s="6" t="n">
        <f aca="false">ROUND(B24*Assumptions!B24,0)</f>
        <v>92</v>
      </c>
      <c r="E24" s="18" t="n">
        <f aca="false">E23+D24-F24</f>
        <v>537</v>
      </c>
      <c r="F24" s="6" t="n">
        <f aca="false">ROUND(E23*Assumptions!B45,0)</f>
        <v>19</v>
      </c>
      <c r="G24" s="18" t="n">
        <f aca="false">D24-F24</f>
        <v>73</v>
      </c>
      <c r="H24" s="18" t="n">
        <f aca="false">ROUND(E24*(Assumptions!B15*0.85+Assumptions!B11*0.15),0)</f>
        <v>6162</v>
      </c>
      <c r="I24" s="18" t="n">
        <f aca="false">H24</f>
        <v>6162</v>
      </c>
      <c r="J24" s="6" t="n">
        <f aca="false">ROUND(E24*Assumptions!B68,0)</f>
        <v>1880</v>
      </c>
      <c r="K24" s="6" t="n">
        <f aca="false">ROUND(J24*Assumptions!B65,0)</f>
        <v>150</v>
      </c>
      <c r="L24" s="6" t="n">
        <f aca="false">Assumptions!B70+IF(E24&gt;Assumptions!B72,45,0)</f>
        <v>76</v>
      </c>
      <c r="M24" s="6" t="n">
        <f aca="false">Assumptions!B76+Assumptions!B77</f>
        <v>35</v>
      </c>
      <c r="N24" s="6" t="n">
        <f aca="false">Assumptions!B81+Assumptions!B82+Assumptions!B87/12+Assumptions!B84</f>
        <v>92</v>
      </c>
      <c r="O24" s="6" t="n">
        <f aca="false">ROUND(I24*Assumptions!B85+E24*Assumptions!B86+W24*Assumptions!B85+ROUND(B24*Assumptions!B137*Assumptions!B138*Assumptions!B139,0)*Assumptions!B86,0)</f>
        <v>377</v>
      </c>
      <c r="P24" s="18" t="n">
        <f aca="false">K24+L24+M24+N24+O24+X24</f>
        <v>848</v>
      </c>
      <c r="Q24" s="18" t="n">
        <f aca="false">I24-P24</f>
        <v>5314</v>
      </c>
      <c r="R24" s="6" t="n">
        <f aca="false">ROUND(B24*Assumptions!B51*Assumptions!B52,0)</f>
        <v>6456</v>
      </c>
      <c r="S24" s="18" t="n">
        <f aca="false">I24+R24+W24</f>
        <v>13337</v>
      </c>
      <c r="T24" s="18" t="n">
        <f aca="false">IF(U24&lt;P24*3,0,IF(U24&lt;P24*6,ROUND((Q24+R24+W24)*0.75*Assumptions!B113,0),ROUND((Q24+R24+W24)*0.75*Assumptions!B114,0)))</f>
        <v>3578</v>
      </c>
      <c r="U24" s="18" t="n">
        <f aca="false">U23+Q24+R24+W24</f>
        <v>75879</v>
      </c>
      <c r="V24" s="19" t="str">
        <f aca="false">IF(B24&gt;=Assumptions!B107,"Signal 6",IF(B24&gt;=Assumptions!B106,"Signal 5",IF(B24&gt;=Assumptions!B105,"Signal 4",IF(B24&gt;=Assumptions!B104,"Signal 3",IF(B24&gt;=Assumptions!B103,"Signal 2",IF(B24&gt;=Assumptions!B102,"Signal 1","Pre-Signal 1"))))))</f>
        <v>Signal 1</v>
      </c>
      <c r="W24" s="6" t="n">
        <f aca="false">ROUND(B24*Assumptions!B137*Assumptions!B138*Assumptions!B139*Assumptions!B136,0)</f>
        <v>719</v>
      </c>
      <c r="X24" s="6" t="n">
        <f aca="false">ROUND(B24*Assumptions!B137*Assumptions!B65,0)</f>
        <v>118</v>
      </c>
    </row>
    <row r="25" customFormat="false" ht="15" hidden="false" customHeight="false" outlineLevel="0" collapsed="false">
      <c r="A25" s="20" t="n">
        <v>20</v>
      </c>
      <c r="B25" s="8" t="n">
        <f aca="false">B24*(1+Assumptions!B35)</f>
        <v>21211.0324612581</v>
      </c>
      <c r="C25" s="8" t="n">
        <f aca="false">ROUND(B25*Assumptions!B25,0)</f>
        <v>424</v>
      </c>
      <c r="D25" s="8" t="n">
        <f aca="false">ROUND(B25*Assumptions!B24,0)</f>
        <v>106</v>
      </c>
      <c r="E25" s="20" t="n">
        <f aca="false">E24+D25-F25</f>
        <v>622</v>
      </c>
      <c r="F25" s="8" t="n">
        <f aca="false">ROUND(E24*Assumptions!B45,0)</f>
        <v>21</v>
      </c>
      <c r="G25" s="20" t="n">
        <f aca="false">D25-F25</f>
        <v>85</v>
      </c>
      <c r="H25" s="20" t="n">
        <f aca="false">ROUND(E25*(Assumptions!B15*0.85+Assumptions!B11*0.15),0)</f>
        <v>7137</v>
      </c>
      <c r="I25" s="20" t="n">
        <f aca="false">H25</f>
        <v>7137</v>
      </c>
      <c r="J25" s="8" t="n">
        <f aca="false">ROUND(E25*Assumptions!B68,0)</f>
        <v>2177</v>
      </c>
      <c r="K25" s="8" t="n">
        <f aca="false">ROUND(J25*Assumptions!B65,0)</f>
        <v>174</v>
      </c>
      <c r="L25" s="8" t="n">
        <f aca="false">Assumptions!B70+IF(E25&gt;Assumptions!B72,45,0)</f>
        <v>76</v>
      </c>
      <c r="M25" s="8" t="n">
        <f aca="false">Assumptions!B76+Assumptions!B77</f>
        <v>35</v>
      </c>
      <c r="N25" s="8" t="n">
        <f aca="false">Assumptions!B81+Assumptions!B82+Assumptions!B87/12+Assumptions!B84</f>
        <v>92</v>
      </c>
      <c r="O25" s="8" t="n">
        <f aca="false">ROUND(I25*Assumptions!B85+E25*Assumptions!B86+W25*Assumptions!B85+ROUND(B25*Assumptions!B137*Assumptions!B138*Assumptions!B139,0)*Assumptions!B86,0)</f>
        <v>437</v>
      </c>
      <c r="P25" s="20" t="n">
        <f aca="false">K25+L25+M25+N25+O25+X25</f>
        <v>950</v>
      </c>
      <c r="Q25" s="20" t="n">
        <f aca="false">I25-P25</f>
        <v>6187</v>
      </c>
      <c r="R25" s="8" t="n">
        <f aca="false">ROUND(B25*Assumptions!B51*Assumptions!B52,0)</f>
        <v>7424</v>
      </c>
      <c r="S25" s="20" t="n">
        <f aca="false">I25+R25+W25</f>
        <v>15388</v>
      </c>
      <c r="T25" s="20" t="n">
        <f aca="false">IF(U25&lt;P25*3,0,IF(U25&lt;P25*6,ROUND((Q25+R25+W25)*0.75*Assumptions!B113,0),ROUND((Q25+R25+W25)*0.75*Assumptions!B114,0)))</f>
        <v>4136</v>
      </c>
      <c r="U25" s="20" t="n">
        <f aca="false">U24+Q25+R25+W25</f>
        <v>90317</v>
      </c>
      <c r="V25" s="21" t="str">
        <f aca="false">IF(B25&gt;=Assumptions!B107,"Signal 6",IF(B25&gt;=Assumptions!B106,"Signal 5",IF(B25&gt;=Assumptions!B105,"Signal 4",IF(B25&gt;=Assumptions!B104,"Signal 3",IF(B25&gt;=Assumptions!B103,"Signal 2",IF(B25&gt;=Assumptions!B102,"Signal 1","Pre-Signal 1"))))))</f>
        <v>Signal 1</v>
      </c>
      <c r="W25" s="8" t="n">
        <f aca="false">ROUND(B25*Assumptions!B137*Assumptions!B138*Assumptions!B139*Assumptions!B136,0)</f>
        <v>827</v>
      </c>
      <c r="X25" s="8" t="n">
        <f aca="false">ROUND(B25*Assumptions!B137*Assumptions!B65,0)</f>
        <v>136</v>
      </c>
    </row>
    <row r="26" customFormat="false" ht="15" hidden="false" customHeight="false" outlineLevel="0" collapsed="false">
      <c r="A26" s="18" t="n">
        <v>21</v>
      </c>
      <c r="B26" s="6" t="n">
        <f aca="false">B25*(1+Assumptions!B35)</f>
        <v>24392.6873304469</v>
      </c>
      <c r="C26" s="6" t="n">
        <f aca="false">ROUND(B26*Assumptions!B25,0)</f>
        <v>488</v>
      </c>
      <c r="D26" s="6" t="n">
        <f aca="false">ROUND(B26*Assumptions!B24,0)</f>
        <v>122</v>
      </c>
      <c r="E26" s="18" t="n">
        <f aca="false">E25+D26-F26</f>
        <v>719</v>
      </c>
      <c r="F26" s="6" t="n">
        <f aca="false">ROUND(E25*Assumptions!B45,0)</f>
        <v>25</v>
      </c>
      <c r="G26" s="18" t="n">
        <f aca="false">D26-F26</f>
        <v>97</v>
      </c>
      <c r="H26" s="18" t="n">
        <f aca="false">ROUND(E26*(Assumptions!B15*0.85+Assumptions!B11*0.15),0)</f>
        <v>8251</v>
      </c>
      <c r="I26" s="18" t="n">
        <f aca="false">H26</f>
        <v>8251</v>
      </c>
      <c r="J26" s="6" t="n">
        <f aca="false">ROUND(E26*Assumptions!B68,0)</f>
        <v>2517</v>
      </c>
      <c r="K26" s="6" t="n">
        <f aca="false">ROUND(J26*Assumptions!B65,0)</f>
        <v>201</v>
      </c>
      <c r="L26" s="6" t="n">
        <f aca="false">Assumptions!B70+IF(E26&gt;Assumptions!B72,45,0)</f>
        <v>76</v>
      </c>
      <c r="M26" s="6" t="n">
        <f aca="false">Assumptions!B76+Assumptions!B77</f>
        <v>35</v>
      </c>
      <c r="N26" s="6" t="n">
        <f aca="false">Assumptions!B81+Assumptions!B82+Assumptions!B87/12+Assumptions!B84</f>
        <v>92</v>
      </c>
      <c r="O26" s="6" t="n">
        <f aca="false">ROUND(I26*Assumptions!B85+E26*Assumptions!B86+W26*Assumptions!B85+ROUND(B26*Assumptions!B137*Assumptions!B138*Assumptions!B139,0)*Assumptions!B86,0)</f>
        <v>504</v>
      </c>
      <c r="P26" s="18" t="n">
        <f aca="false">K26+L26+M26+N26+O26+X26</f>
        <v>1064</v>
      </c>
      <c r="Q26" s="18" t="n">
        <f aca="false">I26-P26</f>
        <v>7187</v>
      </c>
      <c r="R26" s="6" t="n">
        <f aca="false">ROUND(B26*Assumptions!B51*Assumptions!B52,0)</f>
        <v>8537</v>
      </c>
      <c r="S26" s="18" t="n">
        <f aca="false">I26+R26+W26</f>
        <v>17739</v>
      </c>
      <c r="T26" s="18" t="n">
        <f aca="false">IF(U26&lt;P26*3,0,IF(U26&lt;P26*6,ROUND((Q26+R26+W26)*0.75*Assumptions!B113,0),ROUND((Q26+R26+W26)*0.75*Assumptions!B114,0)))</f>
        <v>4777</v>
      </c>
      <c r="U26" s="18" t="n">
        <f aca="false">U25+Q26+R26+W26</f>
        <v>106992</v>
      </c>
      <c r="V26" s="19" t="str">
        <f aca="false">IF(B26&gt;=Assumptions!B107,"Signal 6",IF(B26&gt;=Assumptions!B106,"Signal 5",IF(B26&gt;=Assumptions!B105,"Signal 4",IF(B26&gt;=Assumptions!B104,"Signal 3",IF(B26&gt;=Assumptions!B103,"Signal 2",IF(B26&gt;=Assumptions!B102,"Signal 1","Pre-Signal 1"))))))</f>
        <v>Signal 1</v>
      </c>
      <c r="W26" s="6" t="n">
        <f aca="false">ROUND(B26*Assumptions!B137*Assumptions!B138*Assumptions!B139*Assumptions!B136,0)</f>
        <v>951</v>
      </c>
      <c r="X26" s="6" t="n">
        <f aca="false">ROUND(B26*Assumptions!B137*Assumptions!B65,0)</f>
        <v>156</v>
      </c>
    </row>
    <row r="27" customFormat="false" ht="15" hidden="false" customHeight="false" outlineLevel="0" collapsed="false">
      <c r="A27" s="20" t="n">
        <v>22</v>
      </c>
      <c r="B27" s="8" t="n">
        <f aca="false">B26*(1+Assumptions!B35)</f>
        <v>28051.5904300139</v>
      </c>
      <c r="C27" s="8" t="n">
        <f aca="false">ROUND(B27*Assumptions!B25,0)</f>
        <v>561</v>
      </c>
      <c r="D27" s="8" t="n">
        <f aca="false">ROUND(B27*Assumptions!B24,0)</f>
        <v>140</v>
      </c>
      <c r="E27" s="20" t="n">
        <f aca="false">E26+D27-F27</f>
        <v>830</v>
      </c>
      <c r="F27" s="8" t="n">
        <f aca="false">ROUND(E26*Assumptions!B45,0)</f>
        <v>29</v>
      </c>
      <c r="G27" s="20" t="n">
        <f aca="false">D27-F27</f>
        <v>111</v>
      </c>
      <c r="H27" s="20" t="n">
        <f aca="false">ROUND(E27*(Assumptions!B15*0.85+Assumptions!B11*0.15),0)</f>
        <v>9524</v>
      </c>
      <c r="I27" s="20" t="n">
        <f aca="false">H27</f>
        <v>9524</v>
      </c>
      <c r="J27" s="8" t="n">
        <f aca="false">ROUND(E27*Assumptions!B68,0)</f>
        <v>2905</v>
      </c>
      <c r="K27" s="8" t="n">
        <f aca="false">ROUND(J27*Assumptions!B65,0)</f>
        <v>232</v>
      </c>
      <c r="L27" s="8" t="n">
        <f aca="false">Assumptions!B70+IF(E27&gt;Assumptions!B72,45,0)</f>
        <v>76</v>
      </c>
      <c r="M27" s="8" t="n">
        <f aca="false">Assumptions!B76+Assumptions!B77</f>
        <v>35</v>
      </c>
      <c r="N27" s="8" t="n">
        <f aca="false">Assumptions!B81+Assumptions!B82+Assumptions!B87/12+Assumptions!B84</f>
        <v>92</v>
      </c>
      <c r="O27" s="8" t="n">
        <f aca="false">ROUND(I27*Assumptions!B85+E27*Assumptions!B86+W27*Assumptions!B85+ROUND(B27*Assumptions!B137*Assumptions!B138*Assumptions!B139,0)*Assumptions!B86,0)</f>
        <v>582</v>
      </c>
      <c r="P27" s="20" t="n">
        <f aca="false">K27+L27+M27+N27+O27+X27</f>
        <v>1197</v>
      </c>
      <c r="Q27" s="20" t="n">
        <f aca="false">I27-P27</f>
        <v>8327</v>
      </c>
      <c r="R27" s="8" t="n">
        <f aca="false">ROUND(B27*Assumptions!B51*Assumptions!B52,0)</f>
        <v>9818</v>
      </c>
      <c r="S27" s="20" t="n">
        <f aca="false">I27+R27+W27</f>
        <v>20436</v>
      </c>
      <c r="T27" s="20" t="n">
        <f aca="false">IF(U27&lt;P27*3,0,IF(U27&lt;P27*6,ROUND((Q27+R27+W27)*0.75*Assumptions!B113,0),ROUND((Q27+R27+W27)*0.75*Assumptions!B114,0)))</f>
        <v>5512</v>
      </c>
      <c r="U27" s="20" t="n">
        <f aca="false">U26+Q27+R27+W27</f>
        <v>126231</v>
      </c>
      <c r="V27" s="21" t="str">
        <f aca="false">IF(B27&gt;=Assumptions!B107,"Signal 6",IF(B27&gt;=Assumptions!B106,"Signal 5",IF(B27&gt;=Assumptions!B105,"Signal 4",IF(B27&gt;=Assumptions!B104,"Signal 3",IF(B27&gt;=Assumptions!B103,"Signal 2",IF(B27&gt;=Assumptions!B102,"Signal 1","Pre-Signal 1"))))))</f>
        <v>Signal 2</v>
      </c>
      <c r="W27" s="8" t="n">
        <f aca="false">ROUND(B27*Assumptions!B137*Assumptions!B138*Assumptions!B139*Assumptions!B136,0)</f>
        <v>1094</v>
      </c>
      <c r="X27" s="8" t="n">
        <f aca="false">ROUND(B27*Assumptions!B137*Assumptions!B65,0)</f>
        <v>180</v>
      </c>
    </row>
    <row r="28" customFormat="false" ht="15" hidden="false" customHeight="false" outlineLevel="0" collapsed="false">
      <c r="A28" s="18" t="n">
        <v>23</v>
      </c>
      <c r="B28" s="6" t="n">
        <f aca="false">B27*(1+Assumptions!B35)</f>
        <v>32259.328994516</v>
      </c>
      <c r="C28" s="6" t="n">
        <f aca="false">ROUND(B28*Assumptions!B25,0)</f>
        <v>645</v>
      </c>
      <c r="D28" s="6" t="n">
        <f aca="false">ROUND(B28*Assumptions!B24,0)</f>
        <v>161</v>
      </c>
      <c r="E28" s="18" t="n">
        <f aca="false">E27+D28-F28</f>
        <v>958</v>
      </c>
      <c r="F28" s="6" t="n">
        <f aca="false">ROUND(E27*Assumptions!B45,0)</f>
        <v>33</v>
      </c>
      <c r="G28" s="18" t="n">
        <f aca="false">D28-F28</f>
        <v>128</v>
      </c>
      <c r="H28" s="18" t="n">
        <f aca="false">ROUND(E28*(Assumptions!B15*0.85+Assumptions!B11*0.15),0)</f>
        <v>10993</v>
      </c>
      <c r="I28" s="18" t="n">
        <f aca="false">H28</f>
        <v>10993</v>
      </c>
      <c r="J28" s="6" t="n">
        <f aca="false">ROUND(E28*Assumptions!B68,0)</f>
        <v>3353</v>
      </c>
      <c r="K28" s="6" t="n">
        <f aca="false">ROUND(J28*Assumptions!B65,0)</f>
        <v>268</v>
      </c>
      <c r="L28" s="6" t="n">
        <f aca="false">Assumptions!B70+IF(E28&gt;Assumptions!B72,45,0)</f>
        <v>76</v>
      </c>
      <c r="M28" s="6" t="n">
        <f aca="false">Assumptions!B76+Assumptions!B77</f>
        <v>35</v>
      </c>
      <c r="N28" s="6" t="n">
        <f aca="false">Assumptions!B81+Assumptions!B82+Assumptions!B87/12+Assumptions!B84</f>
        <v>92</v>
      </c>
      <c r="O28" s="6" t="n">
        <f aca="false">ROUND(I28*Assumptions!B85+E28*Assumptions!B86+W28*Assumptions!B85+ROUND(B28*Assumptions!B137*Assumptions!B138*Assumptions!B139,0)*Assumptions!B86,0)</f>
        <v>672</v>
      </c>
      <c r="P28" s="18" t="n">
        <f aca="false">K28+L28+M28+N28+O28+X28</f>
        <v>1349</v>
      </c>
      <c r="Q28" s="18" t="n">
        <f aca="false">I28-P28</f>
        <v>9644</v>
      </c>
      <c r="R28" s="6" t="n">
        <f aca="false">ROUND(B28*Assumptions!B51*Assumptions!B52,0)</f>
        <v>11291</v>
      </c>
      <c r="S28" s="18" t="n">
        <f aca="false">I28+R28+W28</f>
        <v>23542</v>
      </c>
      <c r="T28" s="18" t="n">
        <f aca="false">IF(U28&lt;P28*3,0,IF(U28&lt;P28*6,ROUND((Q28+R28+W28)*0.75*Assumptions!B113,0),ROUND((Q28+R28+W28)*0.75*Assumptions!B114,0)))</f>
        <v>6358</v>
      </c>
      <c r="U28" s="18" t="n">
        <f aca="false">U27+Q28+R28+W28</f>
        <v>148424</v>
      </c>
      <c r="V28" s="19" t="str">
        <f aca="false">IF(B28&gt;=Assumptions!B107,"Signal 6",IF(B28&gt;=Assumptions!B106,"Signal 5",IF(B28&gt;=Assumptions!B105,"Signal 4",IF(B28&gt;=Assumptions!B104,"Signal 3",IF(B28&gt;=Assumptions!B103,"Signal 2",IF(B28&gt;=Assumptions!B102,"Signal 1","Pre-Signal 1"))))))</f>
        <v>Signal 2</v>
      </c>
      <c r="W28" s="6" t="n">
        <f aca="false">ROUND(B28*Assumptions!B137*Assumptions!B138*Assumptions!B139*Assumptions!B136,0)</f>
        <v>1258</v>
      </c>
      <c r="X28" s="6" t="n">
        <f aca="false">ROUND(B28*Assumptions!B137*Assumptions!B65,0)</f>
        <v>206</v>
      </c>
    </row>
    <row r="29" customFormat="false" ht="15" hidden="false" customHeight="false" outlineLevel="0" collapsed="false">
      <c r="A29" s="20" t="n">
        <v>24</v>
      </c>
      <c r="B29" s="8" t="n">
        <f aca="false">B28*(1+Assumptions!B35)</f>
        <v>37098.2283436934</v>
      </c>
      <c r="C29" s="8" t="n">
        <f aca="false">ROUND(B29*Assumptions!B25,0)</f>
        <v>742</v>
      </c>
      <c r="D29" s="8" t="n">
        <f aca="false">ROUND(B29*Assumptions!B24,0)</f>
        <v>185</v>
      </c>
      <c r="E29" s="20" t="n">
        <f aca="false">E28+D29-F29</f>
        <v>1105</v>
      </c>
      <c r="F29" s="8" t="n">
        <f aca="false">ROUND(E28*Assumptions!B45,0)</f>
        <v>38</v>
      </c>
      <c r="G29" s="20" t="n">
        <f aca="false">D29-F29</f>
        <v>147</v>
      </c>
      <c r="H29" s="20" t="n">
        <f aca="false">ROUND(E29*(Assumptions!B15*0.85+Assumptions!B11*0.15),0)</f>
        <v>12680</v>
      </c>
      <c r="I29" s="20" t="n">
        <f aca="false">H29</f>
        <v>12680</v>
      </c>
      <c r="J29" s="8" t="n">
        <f aca="false">ROUND(E29*Assumptions!B68,0)</f>
        <v>3868</v>
      </c>
      <c r="K29" s="8" t="n">
        <f aca="false">ROUND(J29*Assumptions!B65,0)</f>
        <v>309</v>
      </c>
      <c r="L29" s="8" t="n">
        <f aca="false">Assumptions!B70+IF(E29&gt;Assumptions!B72,45,0)</f>
        <v>76</v>
      </c>
      <c r="M29" s="8" t="n">
        <f aca="false">Assumptions!B76+Assumptions!B77</f>
        <v>35</v>
      </c>
      <c r="N29" s="8" t="n">
        <f aca="false">Assumptions!B81+Assumptions!B82+Assumptions!B87/12+Assumptions!B84</f>
        <v>92</v>
      </c>
      <c r="O29" s="8" t="n">
        <f aca="false">ROUND(I29*Assumptions!B85+E29*Assumptions!B86+W29*Assumptions!B85+ROUND(B29*Assumptions!B137*Assumptions!B138*Assumptions!B139,0)*Assumptions!B86,0)</f>
        <v>774</v>
      </c>
      <c r="P29" s="20" t="n">
        <f aca="false">K29+L29+M29+N29+O29+X29</f>
        <v>1523</v>
      </c>
      <c r="Q29" s="20" t="n">
        <f aca="false">I29-P29</f>
        <v>11157</v>
      </c>
      <c r="R29" s="8" t="n">
        <f aca="false">ROUND(B29*Assumptions!B51*Assumptions!B52,0)</f>
        <v>12984</v>
      </c>
      <c r="S29" s="20" t="n">
        <f aca="false">I29+R29+W29</f>
        <v>27111</v>
      </c>
      <c r="T29" s="20" t="n">
        <f aca="false">IF(U29&lt;P29*3,0,IF(U29&lt;P29*6,ROUND((Q29+R29+W29)*0.75*Assumptions!B113,0),ROUND((Q29+R29+W29)*0.75*Assumptions!B114,0)))</f>
        <v>7331</v>
      </c>
      <c r="U29" s="20" t="n">
        <f aca="false">U28+Q29+R29+W29</f>
        <v>174012</v>
      </c>
      <c r="V29" s="21" t="str">
        <f aca="false">IF(B29&gt;=Assumptions!B107,"Signal 6",IF(B29&gt;=Assumptions!B106,"Signal 5",IF(B29&gt;=Assumptions!B105,"Signal 4",IF(B29&gt;=Assumptions!B104,"Signal 3",IF(B29&gt;=Assumptions!B103,"Signal 2",IF(B29&gt;=Assumptions!B102,"Signal 1","Pre-Signal 1"))))))</f>
        <v>Signal 2</v>
      </c>
      <c r="W29" s="8" t="n">
        <f aca="false">ROUND(B29*Assumptions!B137*Assumptions!B138*Assumptions!B139*Assumptions!B136,0)</f>
        <v>1447</v>
      </c>
      <c r="X29" s="8" t="n">
        <f aca="false">ROUND(B29*Assumptions!B137*Assumptions!B65,0)</f>
        <v>237</v>
      </c>
    </row>
    <row r="30" customFormat="false" ht="15" hidden="false" customHeight="false" outlineLevel="0" collapsed="false">
      <c r="A30" s="18" t="n">
        <v>25</v>
      </c>
      <c r="B30" s="6" t="n">
        <f aca="false">B29*(1+Assumptions!B35)</f>
        <v>42662.9625952474</v>
      </c>
      <c r="C30" s="6" t="n">
        <f aca="false">ROUND(B30*Assumptions!B25,0)</f>
        <v>853</v>
      </c>
      <c r="D30" s="6" t="n">
        <f aca="false">ROUND(B30*Assumptions!B24,0)</f>
        <v>213</v>
      </c>
      <c r="E30" s="18" t="n">
        <f aca="false">E29+D30-F30</f>
        <v>1274</v>
      </c>
      <c r="F30" s="6" t="n">
        <f aca="false">ROUND(E29*Assumptions!B45,0)</f>
        <v>44</v>
      </c>
      <c r="G30" s="18" t="n">
        <f aca="false">D30-F30</f>
        <v>169</v>
      </c>
      <c r="H30" s="18" t="n">
        <f aca="false">ROUND(E30*(Assumptions!B15*0.85+Assumptions!B11*0.15),0)</f>
        <v>14619</v>
      </c>
      <c r="I30" s="18" t="n">
        <f aca="false">H30</f>
        <v>14619</v>
      </c>
      <c r="J30" s="6" t="n">
        <f aca="false">ROUND(E30*Assumptions!B68,0)</f>
        <v>4459</v>
      </c>
      <c r="K30" s="6" t="n">
        <f aca="false">ROUND(J30*Assumptions!B65,0)</f>
        <v>357</v>
      </c>
      <c r="L30" s="6" t="n">
        <f aca="false">Assumptions!B70+IF(E30&gt;Assumptions!B72,45,0)</f>
        <v>76</v>
      </c>
      <c r="M30" s="6" t="n">
        <f aca="false">Assumptions!B76+Assumptions!B77</f>
        <v>35</v>
      </c>
      <c r="N30" s="6" t="n">
        <f aca="false">Assumptions!B81+Assumptions!B82+Assumptions!B87/12+Assumptions!B84</f>
        <v>92</v>
      </c>
      <c r="O30" s="6" t="n">
        <f aca="false">ROUND(I30*Assumptions!B85+E30*Assumptions!B86+W30*Assumptions!B85+ROUND(B30*Assumptions!B137*Assumptions!B138*Assumptions!B139,0)*Assumptions!B86,0)</f>
        <v>893</v>
      </c>
      <c r="P30" s="18" t="n">
        <f aca="false">K30+L30+M30+N30+O30+X30</f>
        <v>1726</v>
      </c>
      <c r="Q30" s="18" t="n">
        <f aca="false">I30-P30</f>
        <v>12893</v>
      </c>
      <c r="R30" s="6" t="n">
        <f aca="false">ROUND(B30*Assumptions!B51*Assumptions!B52,0)</f>
        <v>14932</v>
      </c>
      <c r="S30" s="18" t="n">
        <f aca="false">I30+R30+W30</f>
        <v>31215</v>
      </c>
      <c r="T30" s="18" t="n">
        <f aca="false">IF(U30&lt;P30*3,0,IF(U30&lt;P30*6,ROUND((Q30+R30+W30)*0.75*Assumptions!B113,0),ROUND((Q30+R30+W30)*0.75*Assumptions!B114,0)))</f>
        <v>8449</v>
      </c>
      <c r="U30" s="18" t="n">
        <f aca="false">U29+Q30+R30+W30</f>
        <v>203501</v>
      </c>
      <c r="V30" s="19" t="str">
        <f aca="false">IF(B30&gt;=Assumptions!B107,"Signal 6",IF(B30&gt;=Assumptions!B106,"Signal 5",IF(B30&gt;=Assumptions!B105,"Signal 4",IF(B30&gt;=Assumptions!B104,"Signal 3",IF(B30&gt;=Assumptions!B103,"Signal 2",IF(B30&gt;=Assumptions!B102,"Signal 1","Pre-Signal 1"))))))</f>
        <v>Signal 3</v>
      </c>
      <c r="W30" s="6" t="n">
        <f aca="false">ROUND(B30*Assumptions!B137*Assumptions!B138*Assumptions!B139*Assumptions!B136,0)</f>
        <v>1664</v>
      </c>
      <c r="X30" s="6" t="n">
        <f aca="false">ROUND(B30*Assumptions!B137*Assumptions!B65,0)</f>
        <v>273</v>
      </c>
    </row>
    <row r="31" customFormat="false" ht="15" hidden="false" customHeight="false" outlineLevel="0" collapsed="false">
      <c r="A31" s="20" t="n">
        <v>26</v>
      </c>
      <c r="B31" s="8" t="n">
        <f aca="false">B30*(1+Assumptions!B35)</f>
        <v>49062.4069845345</v>
      </c>
      <c r="C31" s="8" t="n">
        <f aca="false">ROUND(B31*Assumptions!B25,0)</f>
        <v>981</v>
      </c>
      <c r="D31" s="8" t="n">
        <f aca="false">ROUND(B31*Assumptions!B24,0)</f>
        <v>245</v>
      </c>
      <c r="E31" s="20" t="n">
        <f aca="false">E30+D31-F31</f>
        <v>1468</v>
      </c>
      <c r="F31" s="8" t="n">
        <f aca="false">ROUND(E30*Assumptions!B45,0)</f>
        <v>51</v>
      </c>
      <c r="G31" s="20" t="n">
        <f aca="false">D31-F31</f>
        <v>194</v>
      </c>
      <c r="H31" s="20" t="n">
        <f aca="false">ROUND(E31*(Assumptions!B15*0.85+Assumptions!B11*0.15),0)</f>
        <v>16845</v>
      </c>
      <c r="I31" s="20" t="n">
        <f aca="false">H31</f>
        <v>16845</v>
      </c>
      <c r="J31" s="8" t="n">
        <f aca="false">ROUND(E31*Assumptions!B68,0)</f>
        <v>5138</v>
      </c>
      <c r="K31" s="8" t="n">
        <f aca="false">ROUND(J31*Assumptions!B65,0)</f>
        <v>411</v>
      </c>
      <c r="L31" s="8" t="n">
        <f aca="false">Assumptions!B70+IF(E31&gt;Assumptions!B72,45,0)</f>
        <v>76</v>
      </c>
      <c r="M31" s="8" t="n">
        <f aca="false">Assumptions!B76+Assumptions!B77</f>
        <v>35</v>
      </c>
      <c r="N31" s="8" t="n">
        <f aca="false">Assumptions!B81+Assumptions!B82+Assumptions!B87/12+Assumptions!B84</f>
        <v>92</v>
      </c>
      <c r="O31" s="8" t="n">
        <f aca="false">ROUND(I31*Assumptions!B85+E31*Assumptions!B86+W31*Assumptions!B85+ROUND(B31*Assumptions!B137*Assumptions!B138*Assumptions!B139,0)*Assumptions!B86,0)</f>
        <v>1028</v>
      </c>
      <c r="P31" s="20" t="n">
        <f aca="false">K31+L31+M31+N31+O31+X31</f>
        <v>1956</v>
      </c>
      <c r="Q31" s="20" t="n">
        <f aca="false">I31-P31</f>
        <v>14889</v>
      </c>
      <c r="R31" s="8" t="n">
        <f aca="false">ROUND(B31*Assumptions!B51*Assumptions!B52,0)</f>
        <v>17172</v>
      </c>
      <c r="S31" s="20" t="n">
        <f aca="false">I31+R31+W31</f>
        <v>35930</v>
      </c>
      <c r="T31" s="20" t="n">
        <f aca="false">IF(U31&lt;P31*3,0,IF(U31&lt;P31*6,ROUND((Q31+R31+W31)*0.75*Assumptions!B113,0),ROUND((Q31+R31+W31)*0.75*Assumptions!B114,0)))</f>
        <v>9734</v>
      </c>
      <c r="U31" s="20" t="n">
        <f aca="false">U30+Q31+R31+W31</f>
        <v>237475</v>
      </c>
      <c r="V31" s="21" t="str">
        <f aca="false">IF(B31&gt;=Assumptions!B107,"Signal 6",IF(B31&gt;=Assumptions!B106,"Signal 5",IF(B31&gt;=Assumptions!B105,"Signal 4",IF(B31&gt;=Assumptions!B104,"Signal 3",IF(B31&gt;=Assumptions!B103,"Signal 2",IF(B31&gt;=Assumptions!B102,"Signal 1","Pre-Signal 1"))))))</f>
        <v>Signal 3</v>
      </c>
      <c r="W31" s="8" t="n">
        <f aca="false">ROUND(B31*Assumptions!B137*Assumptions!B138*Assumptions!B139*Assumptions!B136,0)</f>
        <v>1913</v>
      </c>
      <c r="X31" s="8" t="n">
        <f aca="false">ROUND(B31*Assumptions!B137*Assumptions!B65,0)</f>
        <v>314</v>
      </c>
    </row>
    <row r="32" customFormat="false" ht="15" hidden="false" customHeight="false" outlineLevel="0" collapsed="false">
      <c r="A32" s="18" t="n">
        <v>27</v>
      </c>
      <c r="B32" s="6" t="n">
        <f aca="false">B31*(1+Assumptions!B35)</f>
        <v>56421.7680322146</v>
      </c>
      <c r="C32" s="6" t="n">
        <f aca="false">ROUND(B32*Assumptions!B25,0)</f>
        <v>1128</v>
      </c>
      <c r="D32" s="6" t="n">
        <f aca="false">ROUND(B32*Assumptions!B24,0)</f>
        <v>282</v>
      </c>
      <c r="E32" s="18" t="n">
        <f aca="false">E31+D32-F32</f>
        <v>1691</v>
      </c>
      <c r="F32" s="6" t="n">
        <f aca="false">ROUND(E31*Assumptions!B45,0)</f>
        <v>59</v>
      </c>
      <c r="G32" s="18" t="n">
        <f aca="false">D32-F32</f>
        <v>223</v>
      </c>
      <c r="H32" s="18" t="n">
        <f aca="false">ROUND(E32*(Assumptions!B15*0.85+Assumptions!B11*0.15),0)</f>
        <v>19404</v>
      </c>
      <c r="I32" s="18" t="n">
        <f aca="false">H32</f>
        <v>19404</v>
      </c>
      <c r="J32" s="6" t="n">
        <f aca="false">ROUND(E32*Assumptions!B68,0)</f>
        <v>5919</v>
      </c>
      <c r="K32" s="6" t="n">
        <f aca="false">ROUND(J32*Assumptions!B65,0)</f>
        <v>474</v>
      </c>
      <c r="L32" s="6" t="n">
        <f aca="false">Assumptions!B70+IF(E32&gt;Assumptions!B72,45,0)</f>
        <v>76</v>
      </c>
      <c r="M32" s="6" t="n">
        <f aca="false">Assumptions!B76+Assumptions!B77</f>
        <v>35</v>
      </c>
      <c r="N32" s="6" t="n">
        <f aca="false">Assumptions!B81+Assumptions!B82+Assumptions!B87/12+Assumptions!B84</f>
        <v>92</v>
      </c>
      <c r="O32" s="6" t="n">
        <f aca="false">ROUND(I32*Assumptions!B85+E32*Assumptions!B86+W32*Assumptions!B85+ROUND(B32*Assumptions!B137*Assumptions!B138*Assumptions!B139,0)*Assumptions!B86,0)</f>
        <v>1185</v>
      </c>
      <c r="P32" s="18" t="n">
        <f aca="false">K32+L32+M32+N32+O32+X32</f>
        <v>2223</v>
      </c>
      <c r="Q32" s="18" t="n">
        <f aca="false">I32-P32</f>
        <v>17181</v>
      </c>
      <c r="R32" s="6" t="n">
        <f aca="false">ROUND(B32*Assumptions!B51*Assumptions!B52,0)</f>
        <v>19748</v>
      </c>
      <c r="S32" s="18" t="n">
        <f aca="false">I32+R32+W32</f>
        <v>41352</v>
      </c>
      <c r="T32" s="18" t="n">
        <f aca="false">IF(U32&lt;P32*3,0,IF(U32&lt;P32*6,ROUND((Q32+R32+W32)*0.75*Assumptions!B113,0),ROUND((Q32+R32+W32)*0.75*Assumptions!B114,0)))</f>
        <v>11210</v>
      </c>
      <c r="U32" s="18" t="n">
        <f aca="false">U31+Q32+R32+W32</f>
        <v>276604</v>
      </c>
      <c r="V32" s="19" t="str">
        <f aca="false">IF(B32&gt;=Assumptions!B107,"Signal 6",IF(B32&gt;=Assumptions!B106,"Signal 5",IF(B32&gt;=Assumptions!B105,"Signal 4",IF(B32&gt;=Assumptions!B104,"Signal 3",IF(B32&gt;=Assumptions!B103,"Signal 2",IF(B32&gt;=Assumptions!B102,"Signal 1","Pre-Signal 1"))))))</f>
        <v>Signal 3</v>
      </c>
      <c r="W32" s="6" t="n">
        <f aca="false">ROUND(B32*Assumptions!B137*Assumptions!B138*Assumptions!B139*Assumptions!B136,0)</f>
        <v>2200</v>
      </c>
      <c r="X32" s="6" t="n">
        <f aca="false">ROUND(B32*Assumptions!B137*Assumptions!B65,0)</f>
        <v>361</v>
      </c>
    </row>
    <row r="33" customFormat="false" ht="15" hidden="false" customHeight="false" outlineLevel="0" collapsed="false">
      <c r="A33" s="20" t="n">
        <v>28</v>
      </c>
      <c r="B33" s="8" t="n">
        <f aca="false">B32*(1+Assumptions!B35)</f>
        <v>64885.0332370468</v>
      </c>
      <c r="C33" s="8" t="n">
        <f aca="false">ROUND(B33*Assumptions!B25,0)</f>
        <v>1298</v>
      </c>
      <c r="D33" s="8" t="n">
        <f aca="false">ROUND(B33*Assumptions!B24,0)</f>
        <v>324</v>
      </c>
      <c r="E33" s="20" t="n">
        <f aca="false">E32+D33-F33</f>
        <v>1947</v>
      </c>
      <c r="F33" s="8" t="n">
        <f aca="false">ROUND(E32*Assumptions!B45,0)</f>
        <v>68</v>
      </c>
      <c r="G33" s="20" t="n">
        <f aca="false">D33-F33</f>
        <v>256</v>
      </c>
      <c r="H33" s="20" t="n">
        <f aca="false">ROUND(E33*(Assumptions!B15*0.85+Assumptions!B11*0.15),0)</f>
        <v>22342</v>
      </c>
      <c r="I33" s="20" t="n">
        <f aca="false">H33</f>
        <v>22342</v>
      </c>
      <c r="J33" s="8" t="n">
        <f aca="false">ROUND(E33*Assumptions!B68,0)</f>
        <v>6815</v>
      </c>
      <c r="K33" s="8" t="n">
        <f aca="false">ROUND(J33*Assumptions!B65,0)</f>
        <v>545</v>
      </c>
      <c r="L33" s="8" t="n">
        <f aca="false">Assumptions!B70+IF(E33&gt;Assumptions!B72,45,0)</f>
        <v>76</v>
      </c>
      <c r="M33" s="8" t="n">
        <f aca="false">Assumptions!B76+Assumptions!B77</f>
        <v>35</v>
      </c>
      <c r="N33" s="8" t="n">
        <f aca="false">Assumptions!B81+Assumptions!B82+Assumptions!B87/12+Assumptions!B84</f>
        <v>92</v>
      </c>
      <c r="O33" s="8" t="n">
        <f aca="false">ROUND(I33*Assumptions!B85+E33*Assumptions!B86+W33*Assumptions!B85+ROUND(B33*Assumptions!B137*Assumptions!B138*Assumptions!B139,0)*Assumptions!B86,0)</f>
        <v>1364</v>
      </c>
      <c r="P33" s="20" t="n">
        <f aca="false">K33+L33+M33+N33+O33+X33</f>
        <v>2527</v>
      </c>
      <c r="Q33" s="20" t="n">
        <f aca="false">I33-P33</f>
        <v>19815</v>
      </c>
      <c r="R33" s="8" t="n">
        <f aca="false">ROUND(B33*Assumptions!B51*Assumptions!B52,0)</f>
        <v>22710</v>
      </c>
      <c r="S33" s="20" t="n">
        <f aca="false">I33+R33+W33</f>
        <v>47583</v>
      </c>
      <c r="T33" s="20" t="n">
        <f aca="false">IF(U33&lt;P33*3,0,IF(U33&lt;P33*6,ROUND((Q33+R33+W33)*0.75*Assumptions!B113,0),ROUND((Q33+R33+W33)*0.75*Assumptions!B114,0)))</f>
        <v>12909</v>
      </c>
      <c r="U33" s="20" t="n">
        <f aca="false">U32+Q33+R33+W33</f>
        <v>321660</v>
      </c>
      <c r="V33" s="21" t="str">
        <f aca="false">IF(B33&gt;=Assumptions!B107,"Signal 6",IF(B33&gt;=Assumptions!B106,"Signal 5",IF(B33&gt;=Assumptions!B105,"Signal 4",IF(B33&gt;=Assumptions!B104,"Signal 3",IF(B33&gt;=Assumptions!B103,"Signal 2",IF(B33&gt;=Assumptions!B102,"Signal 1","Pre-Signal 1"))))))</f>
        <v>Signal 3</v>
      </c>
      <c r="W33" s="8" t="n">
        <f aca="false">ROUND(B33*Assumptions!B137*Assumptions!B138*Assumptions!B139*Assumptions!B136,0)</f>
        <v>2531</v>
      </c>
      <c r="X33" s="8" t="n">
        <f aca="false">ROUND(B33*Assumptions!B137*Assumptions!B65,0)</f>
        <v>415</v>
      </c>
    </row>
    <row r="34" customFormat="false" ht="15" hidden="false" customHeight="false" outlineLevel="0" collapsed="false">
      <c r="A34" s="18" t="n">
        <v>29</v>
      </c>
      <c r="B34" s="6" t="n">
        <f aca="false">B33*(1+Assumptions!B35)</f>
        <v>74617.7882226038</v>
      </c>
      <c r="C34" s="6" t="n">
        <f aca="false">ROUND(B34*Assumptions!B25,0)</f>
        <v>1492</v>
      </c>
      <c r="D34" s="6" t="n">
        <f aca="false">ROUND(B34*Assumptions!B24,0)</f>
        <v>373</v>
      </c>
      <c r="E34" s="18" t="n">
        <f aca="false">E33+D34-F34</f>
        <v>2242</v>
      </c>
      <c r="F34" s="6" t="n">
        <f aca="false">ROUND(E33*Assumptions!B45,0)</f>
        <v>78</v>
      </c>
      <c r="G34" s="18" t="n">
        <f aca="false">D34-F34</f>
        <v>295</v>
      </c>
      <c r="H34" s="18" t="n">
        <f aca="false">ROUND(E34*(Assumptions!B15*0.85+Assumptions!B11*0.15),0)</f>
        <v>25727</v>
      </c>
      <c r="I34" s="18" t="n">
        <f aca="false">H34</f>
        <v>25727</v>
      </c>
      <c r="J34" s="6" t="n">
        <f aca="false">ROUND(E34*Assumptions!B68,0)</f>
        <v>7847</v>
      </c>
      <c r="K34" s="6" t="n">
        <f aca="false">ROUND(J34*Assumptions!B65,0)</f>
        <v>628</v>
      </c>
      <c r="L34" s="6" t="n">
        <f aca="false">Assumptions!B70+IF(E34&gt;Assumptions!B72,45,0)</f>
        <v>76</v>
      </c>
      <c r="M34" s="6" t="n">
        <f aca="false">Assumptions!B76+Assumptions!B77</f>
        <v>35</v>
      </c>
      <c r="N34" s="6" t="n">
        <f aca="false">Assumptions!B81+Assumptions!B82+Assumptions!B87/12+Assumptions!B84</f>
        <v>92</v>
      </c>
      <c r="O34" s="6" t="n">
        <f aca="false">ROUND(I34*Assumptions!B85+E34*Assumptions!B86+W34*Assumptions!B85+ROUND(B34*Assumptions!B137*Assumptions!B138*Assumptions!B139,0)*Assumptions!B86,0)</f>
        <v>1570</v>
      </c>
      <c r="P34" s="18" t="n">
        <f aca="false">K34+L34+M34+N34+O34+X34</f>
        <v>2879</v>
      </c>
      <c r="Q34" s="18" t="n">
        <f aca="false">I34-P34</f>
        <v>22848</v>
      </c>
      <c r="R34" s="6" t="n">
        <f aca="false">ROUND(B34*Assumptions!B51*Assumptions!B52,0)</f>
        <v>26116</v>
      </c>
      <c r="S34" s="18" t="n">
        <f aca="false">I34+R34+W34</f>
        <v>54753</v>
      </c>
      <c r="T34" s="18" t="n">
        <f aca="false">IF(U34&lt;P34*3,0,IF(U34&lt;P34*6,ROUND((Q34+R34+W34)*0.75*Assumptions!B113,0),ROUND((Q34+R34+W34)*0.75*Assumptions!B114,0)))</f>
        <v>14862</v>
      </c>
      <c r="U34" s="18" t="n">
        <f aca="false">U33+Q34+R34+W34</f>
        <v>373534</v>
      </c>
      <c r="V34" s="19" t="str">
        <f aca="false">IF(B34&gt;=Assumptions!B107,"Signal 6",IF(B34&gt;=Assumptions!B106,"Signal 5",IF(B34&gt;=Assumptions!B105,"Signal 4",IF(B34&gt;=Assumptions!B104,"Signal 3",IF(B34&gt;=Assumptions!B103,"Signal 2",IF(B34&gt;=Assumptions!B102,"Signal 1","Pre-Signal 1"))))))</f>
        <v>Signal 4</v>
      </c>
      <c r="W34" s="6" t="n">
        <f aca="false">ROUND(B34*Assumptions!B137*Assumptions!B138*Assumptions!B139*Assumptions!B136,0)</f>
        <v>2910</v>
      </c>
      <c r="X34" s="6" t="n">
        <f aca="false">ROUND(B34*Assumptions!B137*Assumptions!B65,0)</f>
        <v>478</v>
      </c>
    </row>
    <row r="35" customFormat="false" ht="15" hidden="false" customHeight="false" outlineLevel="0" collapsed="false">
      <c r="A35" s="20" t="n">
        <v>30</v>
      </c>
      <c r="B35" s="8" t="n">
        <f aca="false">B34*(1+Assumptions!B35)</f>
        <v>85810.4564559944</v>
      </c>
      <c r="C35" s="8" t="n">
        <f aca="false">ROUND(B35*Assumptions!B25,0)</f>
        <v>1716</v>
      </c>
      <c r="D35" s="8" t="n">
        <f aca="false">ROUND(B35*Assumptions!B24,0)</f>
        <v>429</v>
      </c>
      <c r="E35" s="20" t="n">
        <f aca="false">E34+D35-F35</f>
        <v>2581</v>
      </c>
      <c r="F35" s="8" t="n">
        <f aca="false">ROUND(E34*Assumptions!B45,0)</f>
        <v>90</v>
      </c>
      <c r="G35" s="20" t="n">
        <f aca="false">D35-F35</f>
        <v>339</v>
      </c>
      <c r="H35" s="20" t="n">
        <f aca="false">ROUND(E35*(Assumptions!B15*0.85+Assumptions!B11*0.15),0)</f>
        <v>29617</v>
      </c>
      <c r="I35" s="20" t="n">
        <f aca="false">H35</f>
        <v>29617</v>
      </c>
      <c r="J35" s="8" t="n">
        <f aca="false">ROUND(E35*Assumptions!B68,0)</f>
        <v>9034</v>
      </c>
      <c r="K35" s="8" t="n">
        <f aca="false">ROUND(J35*Assumptions!B65,0)</f>
        <v>723</v>
      </c>
      <c r="L35" s="8" t="n">
        <f aca="false">Assumptions!B70+IF(E35&gt;Assumptions!B72,45,0)</f>
        <v>76</v>
      </c>
      <c r="M35" s="8" t="n">
        <f aca="false">Assumptions!B76+Assumptions!B77</f>
        <v>35</v>
      </c>
      <c r="N35" s="8" t="n">
        <f aca="false">Assumptions!B81+Assumptions!B82+Assumptions!B87/12+Assumptions!B84</f>
        <v>92</v>
      </c>
      <c r="O35" s="8" t="n">
        <f aca="false">ROUND(I35*Assumptions!B85+E35*Assumptions!B86+W35*Assumptions!B85+ROUND(B35*Assumptions!B137*Assumptions!B138*Assumptions!B139,0)*Assumptions!B86,0)</f>
        <v>1807</v>
      </c>
      <c r="P35" s="20" t="n">
        <f aca="false">K35+L35+M35+N35+O35+X35</f>
        <v>3282</v>
      </c>
      <c r="Q35" s="20" t="n">
        <f aca="false">I35-P35</f>
        <v>26335</v>
      </c>
      <c r="R35" s="8" t="n">
        <f aca="false">ROUND(B35*Assumptions!B51*Assumptions!B52,0)</f>
        <v>30034</v>
      </c>
      <c r="S35" s="20" t="n">
        <f aca="false">I35+R35+W35</f>
        <v>62998</v>
      </c>
      <c r="T35" s="20" t="n">
        <f aca="false">IF(U35&lt;P35*3,0,IF(U35&lt;P35*6,ROUND((Q35+R35+W35)*0.75*Assumptions!B113,0),ROUND((Q35+R35+W35)*0.75*Assumptions!B114,0)))</f>
        <v>17109</v>
      </c>
      <c r="U35" s="20" t="n">
        <f aca="false">U34+Q35+R35+W35</f>
        <v>433250</v>
      </c>
      <c r="V35" s="21" t="str">
        <f aca="false">IF(B35&gt;=Assumptions!B107,"Signal 6",IF(B35&gt;=Assumptions!B106,"Signal 5",IF(B35&gt;=Assumptions!B105,"Signal 4",IF(B35&gt;=Assumptions!B104,"Signal 3",IF(B35&gt;=Assumptions!B103,"Signal 2",IF(B35&gt;=Assumptions!B102,"Signal 1","Pre-Signal 1"))))))</f>
        <v>Signal 4</v>
      </c>
      <c r="W35" s="8" t="n">
        <f aca="false">ROUND(B35*Assumptions!B137*Assumptions!B138*Assumptions!B139*Assumptions!B136,0)</f>
        <v>3347</v>
      </c>
      <c r="X35" s="8" t="n">
        <f aca="false">ROUND(B35*Assumptions!B137*Assumptions!B65,0)</f>
        <v>549</v>
      </c>
    </row>
    <row r="36" customFormat="false" ht="15" hidden="false" customHeight="false" outlineLevel="0" collapsed="false">
      <c r="A36" s="18" t="n">
        <v>31</v>
      </c>
      <c r="B36" s="6" t="n">
        <f aca="false">B35*(1+Assumptions!B35)</f>
        <v>98682.0249243935</v>
      </c>
      <c r="C36" s="6" t="n">
        <f aca="false">ROUND(B36*Assumptions!B25,0)</f>
        <v>1974</v>
      </c>
      <c r="D36" s="6" t="n">
        <f aca="false">ROUND(B36*Assumptions!B24,0)</f>
        <v>493</v>
      </c>
      <c r="E36" s="18" t="n">
        <f aca="false">E35+D36-F36</f>
        <v>2971</v>
      </c>
      <c r="F36" s="6" t="n">
        <f aca="false">ROUND(E35*Assumptions!B45,0)</f>
        <v>103</v>
      </c>
      <c r="G36" s="18" t="n">
        <f aca="false">D36-F36</f>
        <v>390</v>
      </c>
      <c r="H36" s="18" t="n">
        <f aca="false">ROUND(E36*(Assumptions!B15*0.85+Assumptions!B11*0.15),0)</f>
        <v>34092</v>
      </c>
      <c r="I36" s="18" t="n">
        <f aca="false">H36</f>
        <v>34092</v>
      </c>
      <c r="J36" s="6" t="n">
        <f aca="false">ROUND(E36*Assumptions!B68,0)</f>
        <v>10399</v>
      </c>
      <c r="K36" s="6" t="n">
        <f aca="false">ROUND(J36*Assumptions!B65,0)</f>
        <v>832</v>
      </c>
      <c r="L36" s="6" t="n">
        <f aca="false">Assumptions!B70+IF(E36&gt;Assumptions!B72,45,0)</f>
        <v>76</v>
      </c>
      <c r="M36" s="6" t="n">
        <f aca="false">Assumptions!B76+Assumptions!B77</f>
        <v>35</v>
      </c>
      <c r="N36" s="6" t="n">
        <f aca="false">Assumptions!B81+Assumptions!B82+Assumptions!B87/12+Assumptions!B84</f>
        <v>92</v>
      </c>
      <c r="O36" s="6" t="n">
        <f aca="false">ROUND(I36*Assumptions!B85+E36*Assumptions!B86+W36*Assumptions!B85+ROUND(B36*Assumptions!B137*Assumptions!B138*Assumptions!B139,0)*Assumptions!B86,0)</f>
        <v>2080</v>
      </c>
      <c r="P36" s="18" t="n">
        <f aca="false">K36+L36+M36+N36+O36+X36</f>
        <v>3747</v>
      </c>
      <c r="Q36" s="18" t="n">
        <f aca="false">I36-P36</f>
        <v>30345</v>
      </c>
      <c r="R36" s="6" t="n">
        <f aca="false">ROUND(B36*Assumptions!B51*Assumptions!B52,0)</f>
        <v>34539</v>
      </c>
      <c r="S36" s="18" t="n">
        <f aca="false">I36+R36+W36</f>
        <v>72480</v>
      </c>
      <c r="T36" s="18" t="n">
        <f aca="false">IF(U36&lt;P36*3,0,IF(U36&lt;P36*6,ROUND((Q36+R36+W36)*0.75*Assumptions!B113,0),ROUND((Q36+R36+W36)*0.75*Assumptions!B114,0)))</f>
        <v>19692</v>
      </c>
      <c r="U36" s="18" t="n">
        <f aca="false">U35+Q36+R36+W36</f>
        <v>501983</v>
      </c>
      <c r="V36" s="19" t="str">
        <f aca="false">IF(B36&gt;=Assumptions!B107,"Signal 6",IF(B36&gt;=Assumptions!B106,"Signal 5",IF(B36&gt;=Assumptions!B105,"Signal 4",IF(B36&gt;=Assumptions!B104,"Signal 3",IF(B36&gt;=Assumptions!B103,"Signal 2",IF(B36&gt;=Assumptions!B102,"Signal 1","Pre-Signal 1"))))))</f>
        <v>Signal 4</v>
      </c>
      <c r="W36" s="6" t="n">
        <f aca="false">ROUND(B36*Assumptions!B137*Assumptions!B138*Assumptions!B139*Assumptions!B136,0)</f>
        <v>3849</v>
      </c>
      <c r="X36" s="6" t="n">
        <f aca="false">ROUND(B36*Assumptions!B137*Assumptions!B65,0)</f>
        <v>632</v>
      </c>
    </row>
    <row r="37" customFormat="false" ht="15" hidden="false" customHeight="false" outlineLevel="0" collapsed="false">
      <c r="A37" s="20" t="n">
        <v>32</v>
      </c>
      <c r="B37" s="8" t="n">
        <f aca="false">B36*(1+Assumptions!B35)</f>
        <v>113484.328663053</v>
      </c>
      <c r="C37" s="8" t="n">
        <f aca="false">ROUND(B37*Assumptions!B25,0)</f>
        <v>2270</v>
      </c>
      <c r="D37" s="8" t="n">
        <f aca="false">ROUND(B37*Assumptions!B24,0)</f>
        <v>567</v>
      </c>
      <c r="E37" s="20" t="n">
        <f aca="false">E36+D37-F37</f>
        <v>3419</v>
      </c>
      <c r="F37" s="8" t="n">
        <f aca="false">ROUND(E36*Assumptions!B45,0)</f>
        <v>119</v>
      </c>
      <c r="G37" s="20" t="n">
        <f aca="false">D37-F37</f>
        <v>448</v>
      </c>
      <c r="H37" s="20" t="n">
        <f aca="false">ROUND(E37*(Assumptions!B15*0.85+Assumptions!B11*0.15),0)</f>
        <v>39233</v>
      </c>
      <c r="I37" s="20" t="n">
        <f aca="false">H37</f>
        <v>39233</v>
      </c>
      <c r="J37" s="8" t="n">
        <f aca="false">ROUND(E37*Assumptions!B68,0)</f>
        <v>11967</v>
      </c>
      <c r="K37" s="8" t="n">
        <f aca="false">ROUND(J37*Assumptions!B65,0)</f>
        <v>957</v>
      </c>
      <c r="L37" s="8" t="n">
        <f aca="false">Assumptions!B70+IF(E37&gt;Assumptions!B72,45,0)</f>
        <v>76</v>
      </c>
      <c r="M37" s="8" t="n">
        <f aca="false">Assumptions!B76+Assumptions!B77</f>
        <v>35</v>
      </c>
      <c r="N37" s="8" t="n">
        <f aca="false">Assumptions!B81+Assumptions!B82+Assumptions!B87/12+Assumptions!B84</f>
        <v>92</v>
      </c>
      <c r="O37" s="8" t="n">
        <f aca="false">ROUND(I37*Assumptions!B85+E37*Assumptions!B86+W37*Assumptions!B85+ROUND(B37*Assumptions!B137*Assumptions!B138*Assumptions!B139,0)*Assumptions!B86,0)</f>
        <v>2394</v>
      </c>
      <c r="P37" s="20" t="n">
        <f aca="false">K37+L37+M37+N37+O37+X37</f>
        <v>4280</v>
      </c>
      <c r="Q37" s="20" t="n">
        <f aca="false">I37-P37</f>
        <v>34953</v>
      </c>
      <c r="R37" s="8" t="n">
        <f aca="false">ROUND(B37*Assumptions!B51*Assumptions!B52,0)</f>
        <v>39720</v>
      </c>
      <c r="S37" s="20" t="n">
        <f aca="false">I37+R37+W37</f>
        <v>83379</v>
      </c>
      <c r="T37" s="20" t="n">
        <f aca="false">IF(U37&lt;P37*3,0,IF(U37&lt;P37*6,ROUND((Q37+R37+W37)*0.75*Assumptions!B113,0),ROUND((Q37+R37+W37)*0.75*Assumptions!B114,0)))</f>
        <v>22662</v>
      </c>
      <c r="U37" s="20" t="n">
        <f aca="false">U36+Q37+R37+W37</f>
        <v>581082</v>
      </c>
      <c r="V37" s="21" t="str">
        <f aca="false">IF(B37&gt;=Assumptions!B107,"Signal 6",IF(B37&gt;=Assumptions!B106,"Signal 5",IF(B37&gt;=Assumptions!B105,"Signal 4",IF(B37&gt;=Assumptions!B104,"Signal 3",IF(B37&gt;=Assumptions!B103,"Signal 2",IF(B37&gt;=Assumptions!B102,"Signal 1","Pre-Signal 1"))))))</f>
        <v>Signal 5</v>
      </c>
      <c r="W37" s="8" t="n">
        <f aca="false">ROUND(B37*Assumptions!B137*Assumptions!B138*Assumptions!B139*Assumptions!B136,0)</f>
        <v>4426</v>
      </c>
      <c r="X37" s="8" t="n">
        <f aca="false">ROUND(B37*Assumptions!B137*Assumptions!B65,0)</f>
        <v>726</v>
      </c>
    </row>
    <row r="38" customFormat="false" ht="15" hidden="false" customHeight="false" outlineLevel="0" collapsed="false">
      <c r="A38" s="18" t="n">
        <v>33</v>
      </c>
      <c r="B38" s="6" t="n">
        <f aca="false">B37*(1+Assumptions!B35)</f>
        <v>130506.97796251</v>
      </c>
      <c r="C38" s="6" t="n">
        <f aca="false">ROUND(B38*Assumptions!B25,0)</f>
        <v>2610</v>
      </c>
      <c r="D38" s="6" t="n">
        <f aca="false">ROUND(B38*Assumptions!B24,0)</f>
        <v>653</v>
      </c>
      <c r="E38" s="18" t="n">
        <f aca="false">E37+D38-F38</f>
        <v>3935</v>
      </c>
      <c r="F38" s="6" t="n">
        <f aca="false">ROUND(E37*Assumptions!B45,0)</f>
        <v>137</v>
      </c>
      <c r="G38" s="18" t="n">
        <f aca="false">D38-F38</f>
        <v>516</v>
      </c>
      <c r="H38" s="18" t="n">
        <f aca="false">ROUND(E38*(Assumptions!B15*0.85+Assumptions!B11*0.15),0)</f>
        <v>45154</v>
      </c>
      <c r="I38" s="18" t="n">
        <f aca="false">H38</f>
        <v>45154</v>
      </c>
      <c r="J38" s="6" t="n">
        <f aca="false">ROUND(E38*Assumptions!B68,0)</f>
        <v>13773</v>
      </c>
      <c r="K38" s="6" t="n">
        <f aca="false">ROUND(J38*Assumptions!B65,0)</f>
        <v>1102</v>
      </c>
      <c r="L38" s="6" t="n">
        <f aca="false">Assumptions!B70+IF(E38&gt;Assumptions!B72,45,0)</f>
        <v>76</v>
      </c>
      <c r="M38" s="6" t="n">
        <f aca="false">Assumptions!B76+Assumptions!B77</f>
        <v>35</v>
      </c>
      <c r="N38" s="6" t="n">
        <f aca="false">Assumptions!B81+Assumptions!B82+Assumptions!B87/12+Assumptions!B84</f>
        <v>92</v>
      </c>
      <c r="O38" s="6" t="n">
        <f aca="false">ROUND(I38*Assumptions!B85+E38*Assumptions!B86+W38*Assumptions!B85+ROUND(B38*Assumptions!B137*Assumptions!B138*Assumptions!B139,0)*Assumptions!B86,0)</f>
        <v>2755</v>
      </c>
      <c r="P38" s="18" t="n">
        <f aca="false">K38+L38+M38+N38+O38+X38</f>
        <v>4895</v>
      </c>
      <c r="Q38" s="18" t="n">
        <f aca="false">I38-P38</f>
        <v>40259</v>
      </c>
      <c r="R38" s="6" t="n">
        <f aca="false">ROUND(B38*Assumptions!B51*Assumptions!B52,0)</f>
        <v>45677</v>
      </c>
      <c r="S38" s="18" t="n">
        <f aca="false">I38+R38+W38</f>
        <v>95921</v>
      </c>
      <c r="T38" s="18" t="n">
        <f aca="false">IF(U38&lt;P38*3,0,IF(U38&lt;P38*6,ROUND((Q38+R38+W38)*0.75*Assumptions!B113,0),ROUND((Q38+R38+W38)*0.75*Assumptions!B114,0)))</f>
        <v>26079</v>
      </c>
      <c r="U38" s="18" t="n">
        <f aca="false">U37+Q38+R38+W38</f>
        <v>672108</v>
      </c>
      <c r="V38" s="19" t="str">
        <f aca="false">IF(B38&gt;=Assumptions!B107,"Signal 6",IF(B38&gt;=Assumptions!B106,"Signal 5",IF(B38&gt;=Assumptions!B105,"Signal 4",IF(B38&gt;=Assumptions!B104,"Signal 3",IF(B38&gt;=Assumptions!B103,"Signal 2",IF(B38&gt;=Assumptions!B102,"Signal 1","Pre-Signal 1"))))))</f>
        <v>Signal 5</v>
      </c>
      <c r="W38" s="6" t="n">
        <f aca="false">ROUND(B38*Assumptions!B137*Assumptions!B138*Assumptions!B139*Assumptions!B136,0)</f>
        <v>5090</v>
      </c>
      <c r="X38" s="6" t="n">
        <f aca="false">ROUND(B38*Assumptions!B137*Assumptions!B65,0)</f>
        <v>835</v>
      </c>
    </row>
    <row r="39" customFormat="false" ht="15" hidden="false" customHeight="false" outlineLevel="0" collapsed="false">
      <c r="A39" s="20" t="n">
        <v>34</v>
      </c>
      <c r="B39" s="8" t="n">
        <f aca="false">B38*(1+Assumptions!B35)</f>
        <v>150083.024656887</v>
      </c>
      <c r="C39" s="8" t="n">
        <f aca="false">ROUND(B39*Assumptions!B25,0)</f>
        <v>3002</v>
      </c>
      <c r="D39" s="8" t="n">
        <f aca="false">ROUND(B39*Assumptions!B24,0)</f>
        <v>750</v>
      </c>
      <c r="E39" s="20" t="n">
        <f aca="false">E38+D39-F39</f>
        <v>4528</v>
      </c>
      <c r="F39" s="8" t="n">
        <f aca="false">ROUND(E38*Assumptions!B45,0)</f>
        <v>157</v>
      </c>
      <c r="G39" s="20" t="n">
        <f aca="false">D39-F39</f>
        <v>593</v>
      </c>
      <c r="H39" s="20" t="n">
        <f aca="false">ROUND(E39*(Assumptions!B15*0.85+Assumptions!B11*0.15),0)</f>
        <v>51959</v>
      </c>
      <c r="I39" s="20" t="n">
        <f aca="false">H39</f>
        <v>51959</v>
      </c>
      <c r="J39" s="8" t="n">
        <f aca="false">ROUND(E39*Assumptions!B68,0)</f>
        <v>15848</v>
      </c>
      <c r="K39" s="8" t="n">
        <f aca="false">ROUND(J39*Assumptions!B65,0)</f>
        <v>1268</v>
      </c>
      <c r="L39" s="8" t="n">
        <f aca="false">Assumptions!B70+IF(E39&gt;Assumptions!B72,45,0)</f>
        <v>76</v>
      </c>
      <c r="M39" s="8" t="n">
        <f aca="false">Assumptions!B76+Assumptions!B77</f>
        <v>35</v>
      </c>
      <c r="N39" s="8" t="n">
        <f aca="false">Assumptions!B81+Assumptions!B82+Assumptions!B87/12+Assumptions!B84</f>
        <v>92</v>
      </c>
      <c r="O39" s="8" t="n">
        <f aca="false">ROUND(I39*Assumptions!B85+E39*Assumptions!B86+W39*Assumptions!B85+ROUND(B39*Assumptions!B137*Assumptions!B138*Assumptions!B139,0)*Assumptions!B86,0)</f>
        <v>3170</v>
      </c>
      <c r="P39" s="20" t="n">
        <f aca="false">K39+L39+M39+N39+O39+X39</f>
        <v>5602</v>
      </c>
      <c r="Q39" s="20" t="n">
        <f aca="false">I39-P39</f>
        <v>46357</v>
      </c>
      <c r="R39" s="8" t="n">
        <f aca="false">ROUND(B39*Assumptions!B51*Assumptions!B52,0)</f>
        <v>52529</v>
      </c>
      <c r="S39" s="20" t="n">
        <f aca="false">I39+R39+W39</f>
        <v>110341</v>
      </c>
      <c r="T39" s="20" t="n">
        <f aca="false">IF(U39&lt;P39*3,0,IF(U39&lt;P39*6,ROUND((Q39+R39+W39)*0.75*Assumptions!B113,0),ROUND((Q39+R39+W39)*0.75*Assumptions!B114,0)))</f>
        <v>30008</v>
      </c>
      <c r="U39" s="20" t="n">
        <f aca="false">U38+Q39+R39+W39</f>
        <v>776847</v>
      </c>
      <c r="V39" s="21" t="str">
        <f aca="false">IF(B39&gt;=Assumptions!B107,"Signal 6",IF(B39&gt;=Assumptions!B106,"Signal 5",IF(B39&gt;=Assumptions!B105,"Signal 4",IF(B39&gt;=Assumptions!B104,"Signal 3",IF(B39&gt;=Assumptions!B103,"Signal 2",IF(B39&gt;=Assumptions!B102,"Signal 1","Pre-Signal 1"))))))</f>
        <v>Signal 5</v>
      </c>
      <c r="W39" s="8" t="n">
        <f aca="false">ROUND(B39*Assumptions!B137*Assumptions!B138*Assumptions!B139*Assumptions!B136,0)</f>
        <v>5853</v>
      </c>
      <c r="X39" s="8" t="n">
        <f aca="false">ROUND(B39*Assumptions!B137*Assumptions!B65,0)</f>
        <v>961</v>
      </c>
    </row>
    <row r="40" customFormat="false" ht="15" hidden="false" customHeight="false" outlineLevel="0" collapsed="false">
      <c r="A40" s="18" t="n">
        <v>35</v>
      </c>
      <c r="B40" s="6" t="n">
        <f aca="false">B39*(1+Assumptions!B35)</f>
        <v>172595.47835542</v>
      </c>
      <c r="C40" s="6" t="n">
        <f aca="false">ROUND(B40*Assumptions!B25,0)</f>
        <v>3452</v>
      </c>
      <c r="D40" s="6" t="n">
        <f aca="false">ROUND(B40*Assumptions!B24,0)</f>
        <v>863</v>
      </c>
      <c r="E40" s="18" t="n">
        <f aca="false">E39+D40-F40</f>
        <v>5210</v>
      </c>
      <c r="F40" s="6" t="n">
        <f aca="false">ROUND(E39*Assumptions!B45,0)</f>
        <v>181</v>
      </c>
      <c r="G40" s="18" t="n">
        <f aca="false">D40-F40</f>
        <v>682</v>
      </c>
      <c r="H40" s="18" t="n">
        <f aca="false">ROUND(E40*(Assumptions!B15*0.85+Assumptions!B11*0.15),0)</f>
        <v>59785</v>
      </c>
      <c r="I40" s="18" t="n">
        <f aca="false">H40</f>
        <v>59785</v>
      </c>
      <c r="J40" s="6" t="n">
        <f aca="false">ROUND(E40*Assumptions!B68,0)</f>
        <v>18235</v>
      </c>
      <c r="K40" s="6" t="n">
        <f aca="false">ROUND(J40*Assumptions!B65,0)</f>
        <v>1459</v>
      </c>
      <c r="L40" s="6" t="n">
        <f aca="false">Assumptions!B70+IF(E40&gt;Assumptions!B72,45,0)</f>
        <v>76</v>
      </c>
      <c r="M40" s="6" t="n">
        <f aca="false">Assumptions!B76+Assumptions!B77</f>
        <v>35</v>
      </c>
      <c r="N40" s="6" t="n">
        <f aca="false">Assumptions!B81+Assumptions!B82+Assumptions!B87/12+Assumptions!B84</f>
        <v>92</v>
      </c>
      <c r="O40" s="6" t="n">
        <f aca="false">ROUND(I40*Assumptions!B85+E40*Assumptions!B86+W40*Assumptions!B85+ROUND(B40*Assumptions!B137*Assumptions!B138*Assumptions!B139,0)*Assumptions!B86,0)</f>
        <v>3647</v>
      </c>
      <c r="P40" s="18" t="n">
        <f aca="false">K40+L40+M40+N40+O40+X40</f>
        <v>6414</v>
      </c>
      <c r="Q40" s="18" t="n">
        <f aca="false">I40-P40</f>
        <v>53371</v>
      </c>
      <c r="R40" s="6" t="n">
        <f aca="false">ROUND(B40*Assumptions!B51*Assumptions!B52,0)</f>
        <v>60408</v>
      </c>
      <c r="S40" s="18" t="n">
        <f aca="false">I40+R40+W40</f>
        <v>126924</v>
      </c>
      <c r="T40" s="18" t="n">
        <f aca="false">IF(U40&lt;P40*3,0,IF(U40&lt;P40*6,ROUND((Q40+R40+W40)*0.75*Assumptions!B113,0),ROUND((Q40+R40+W40)*0.75*Assumptions!B114,0)))</f>
        <v>34526</v>
      </c>
      <c r="U40" s="18" t="n">
        <f aca="false">U39+Q40+R40+W40</f>
        <v>897357</v>
      </c>
      <c r="V40" s="19" t="str">
        <f aca="false">IF(B40&gt;=Assumptions!B107,"Signal 6",IF(B40&gt;=Assumptions!B106,"Signal 5",IF(B40&gt;=Assumptions!B105,"Signal 4",IF(B40&gt;=Assumptions!B104,"Signal 3",IF(B40&gt;=Assumptions!B103,"Signal 2",IF(B40&gt;=Assumptions!B102,"Signal 1","Pre-Signal 1"))))))</f>
        <v>Signal 5</v>
      </c>
      <c r="W40" s="6" t="n">
        <f aca="false">ROUND(B40*Assumptions!B137*Assumptions!B138*Assumptions!B139*Assumptions!B136,0)</f>
        <v>6731</v>
      </c>
      <c r="X40" s="6" t="n">
        <f aca="false">ROUND(B40*Assumptions!B137*Assumptions!B65,0)</f>
        <v>1105</v>
      </c>
    </row>
    <row r="41" customFormat="false" ht="15" hidden="false" customHeight="false" outlineLevel="0" collapsed="false">
      <c r="A41" s="20" t="n">
        <v>36</v>
      </c>
      <c r="B41" s="8" t="n">
        <f aca="false">B40*(1+Assumptions!B35)</f>
        <v>198484.800108733</v>
      </c>
      <c r="C41" s="8" t="n">
        <f aca="false">ROUND(B41*Assumptions!B25,0)</f>
        <v>3970</v>
      </c>
      <c r="D41" s="8" t="n">
        <f aca="false">ROUND(B41*Assumptions!B24,0)</f>
        <v>992</v>
      </c>
      <c r="E41" s="20" t="n">
        <f aca="false">E40+D41-F41</f>
        <v>5994</v>
      </c>
      <c r="F41" s="8" t="n">
        <f aca="false">ROUND(E40*Assumptions!B45,0)</f>
        <v>208</v>
      </c>
      <c r="G41" s="20" t="n">
        <f aca="false">D41-F41</f>
        <v>784</v>
      </c>
      <c r="H41" s="20" t="n">
        <f aca="false">ROUND(E41*(Assumptions!B15*0.85+Assumptions!B11*0.15),0)</f>
        <v>68781</v>
      </c>
      <c r="I41" s="20" t="n">
        <f aca="false">H41</f>
        <v>68781</v>
      </c>
      <c r="J41" s="8" t="n">
        <f aca="false">ROUND(E41*Assumptions!B68,0)</f>
        <v>20979</v>
      </c>
      <c r="K41" s="8" t="n">
        <f aca="false">ROUND(J41*Assumptions!B65,0)</f>
        <v>1678</v>
      </c>
      <c r="L41" s="8" t="n">
        <f aca="false">Assumptions!B70+IF(E41&gt;Assumptions!B72,45,0)</f>
        <v>76</v>
      </c>
      <c r="M41" s="8" t="n">
        <f aca="false">Assumptions!B76+Assumptions!B77</f>
        <v>35</v>
      </c>
      <c r="N41" s="8" t="n">
        <f aca="false">Assumptions!B81+Assumptions!B82+Assumptions!B87/12+Assumptions!B84</f>
        <v>92</v>
      </c>
      <c r="O41" s="8" t="n">
        <f aca="false">ROUND(I41*Assumptions!B85+E41*Assumptions!B86+W41*Assumptions!B85+ROUND(B41*Assumptions!B137*Assumptions!B138*Assumptions!B139,0)*Assumptions!B86,0)</f>
        <v>4196</v>
      </c>
      <c r="P41" s="20" t="n">
        <f aca="false">K41+L41+M41+N41+O41+X41</f>
        <v>7347</v>
      </c>
      <c r="Q41" s="20" t="n">
        <f aca="false">I41-P41</f>
        <v>61434</v>
      </c>
      <c r="R41" s="8" t="n">
        <f aca="false">ROUND(B41*Assumptions!B51*Assumptions!B52,0)</f>
        <v>69470</v>
      </c>
      <c r="S41" s="20" t="n">
        <f aca="false">I41+R41+W41</f>
        <v>145992</v>
      </c>
      <c r="T41" s="20" t="n">
        <f aca="false">IF(U41&lt;P41*3,0,IF(U41&lt;P41*6,ROUND((Q41+R41+W41)*0.75*Assumptions!B113,0),ROUND((Q41+R41+W41)*0.75*Assumptions!B114,0)))</f>
        <v>39722</v>
      </c>
      <c r="U41" s="20" t="n">
        <f aca="false">U40+Q41+R41+W41</f>
        <v>1036002</v>
      </c>
      <c r="V41" s="21" t="str">
        <f aca="false">IF(B41&gt;=Assumptions!B107,"Signal 6",IF(B41&gt;=Assumptions!B106,"Signal 5",IF(B41&gt;=Assumptions!B105,"Signal 4",IF(B41&gt;=Assumptions!B104,"Signal 3",IF(B41&gt;=Assumptions!B103,"Signal 2",IF(B41&gt;=Assumptions!B102,"Signal 1","Pre-Signal 1"))))))</f>
        <v>Signal 6</v>
      </c>
      <c r="W41" s="8" t="n">
        <f aca="false">ROUND(B41*Assumptions!B137*Assumptions!B138*Assumptions!B139*Assumptions!B136,0)</f>
        <v>7741</v>
      </c>
      <c r="X41" s="8" t="n">
        <f aca="false">ROUND(B41*Assumptions!B137*Assumptions!B65,0)</f>
        <v>1270</v>
      </c>
    </row>
    <row r="43" customFormat="false" ht="15" hidden="false" customHeight="false" outlineLevel="0" collapsed="false">
      <c r="A43" s="3" t="s">
        <v>253</v>
      </c>
      <c r="I43" s="3" t="n">
        <f aca="false">SUM(I6:I41)</f>
        <v>513896</v>
      </c>
      <c r="P43" s="3" t="n">
        <f aca="false">SUM(P6:P41)</f>
        <v>62418</v>
      </c>
      <c r="Q43" s="3" t="n">
        <f aca="false">SUM(Q6:Q41)</f>
        <v>451478</v>
      </c>
      <c r="R43" s="3" t="n">
        <f aca="false">SUM(R6:R41)</f>
        <v>525609</v>
      </c>
      <c r="S43" s="3" t="n">
        <f aca="false">SUM(S6:S41)</f>
        <v>1098420</v>
      </c>
      <c r="T43" s="3" t="n">
        <f aca="false">SUM(T6:T41)</f>
        <v>296871</v>
      </c>
      <c r="W43" s="3" t="n">
        <f aca="false">SUM(W6:W41)</f>
        <v>58915</v>
      </c>
      <c r="X43" s="3" t="n">
        <f aca="false">SUM(X6:X41)</f>
        <v>9668</v>
      </c>
    </row>
    <row r="44" customFormat="false" ht="15" hidden="false" customHeight="false" outlineLevel="0" collapsed="false">
      <c r="A44" s="3" t="s">
        <v>254</v>
      </c>
      <c r="H44" s="22" t="n">
        <f aca="false">AVERAGE(H6:H41)</f>
        <v>14274.8888888889</v>
      </c>
      <c r="Q44" s="22" t="n">
        <f aca="false">AVERAGE(Q6:Q41)</f>
        <v>12541.0555555556</v>
      </c>
    </row>
    <row r="45" customFormat="false" ht="15" hidden="false" customHeight="false" outlineLevel="0" collapsed="false">
      <c r="A45" s="3" t="s">
        <v>255</v>
      </c>
      <c r="B45" s="23" t="n">
        <f aca="false">B41</f>
        <v>198484.800108733</v>
      </c>
      <c r="E45" s="23" t="n">
        <f aca="false">E41</f>
        <v>5994</v>
      </c>
      <c r="H45" s="23" t="n">
        <f aca="false">H41</f>
        <v>68781</v>
      </c>
      <c r="S45" s="23" t="n">
        <f aca="false">S41</f>
        <v>145992</v>
      </c>
      <c r="T45" s="23" t="n">
        <f aca="false">T41</f>
        <v>39722</v>
      </c>
      <c r="U45" s="23" t="n">
        <f aca="false">U41</f>
        <v>1036002</v>
      </c>
      <c r="V45" s="3" t="str">
        <f aca="false">V41</f>
        <v>Signal 6</v>
      </c>
    </row>
  </sheetData>
  <conditionalFormatting sqref="A6:X41">
    <cfRule type="expression" priority="2" aboveAverage="0" equalAverage="0" bottom="0" percent="0" rank="0" text="" dxfId="0">
      <formula>AND(B6&gt;=10000,OR(ROW()=6,B5&lt;10000))</formula>
    </cfRule>
    <cfRule type="expression" priority="3" aboveAverage="0" equalAverage="0" bottom="0" percent="0" rank="0" text="" dxfId="0">
      <formula>AND(B6&gt;=25000,OR(ROW()=6,B5&lt;25000))</formula>
    </cfRule>
    <cfRule type="expression" priority="4" aboveAverage="0" equalAverage="0" bottom="0" percent="0" rank="0" text="" dxfId="0">
      <formula>AND(B6&gt;=40000,OR(ROW()=6,B5&lt;40000))</formula>
    </cfRule>
    <cfRule type="expression" priority="5" aboveAverage="0" equalAverage="0" bottom="0" percent="0" rank="0" text="" dxfId="0">
      <formula>AND(B6&gt;=65000,OR(ROW()=6,B5&lt;65000))</formula>
    </cfRule>
    <cfRule type="expression" priority="6" aboveAverage="0" equalAverage="0" bottom="0" percent="0" rank="0" text="" dxfId="0">
      <formula>AND(B6&gt;=110000,OR(ROW()=6,B5&lt;110000))</formula>
    </cfRule>
    <cfRule type="expression" priority="7" aboveAverage="0" equalAverage="0" bottom="0" percent="0" rank="0" text="" dxfId="0">
      <formula>AND(B6&gt;=175000,OR(ROW()=6,B5&lt;175000))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35"/>
    <col collapsed="false" customWidth="true" hidden="false" outlineLevel="0" max="5" min="5" style="0" width="65"/>
  </cols>
  <sheetData>
    <row r="1" customFormat="false" ht="15" hidden="false" customHeight="false" outlineLevel="0" collapsed="false">
      <c r="A1" s="15" t="s">
        <v>260</v>
      </c>
    </row>
    <row r="2" customFormat="false" ht="15" hidden="false" customHeight="false" outlineLevel="0" collapsed="false">
      <c r="A2" s="2" t="s">
        <v>261</v>
      </c>
    </row>
    <row r="4" customFormat="false" ht="15" hidden="false" customHeight="false" outlineLevel="0" collapsed="false">
      <c r="A4" s="4" t="s">
        <v>262</v>
      </c>
      <c r="B4" s="4" t="s">
        <v>4</v>
      </c>
      <c r="C4" s="4" t="s">
        <v>263</v>
      </c>
      <c r="D4" s="4" t="s">
        <v>264</v>
      </c>
      <c r="E4" s="4" t="s">
        <v>265</v>
      </c>
    </row>
    <row r="5" customFormat="false" ht="15" hidden="false" customHeight="false" outlineLevel="0" collapsed="false">
      <c r="A5" s="5" t="s">
        <v>266</v>
      </c>
      <c r="B5" s="5" t="s">
        <v>267</v>
      </c>
      <c r="C5" s="5" t="n">
        <f aca="false">Assumptions!B22</f>
        <v>0.0015</v>
      </c>
      <c r="D5" s="5" t="str">
        <f aca="false">IF(Assumptions!B22=0.0015,"PASS","FAIL — should be 0.0015")</f>
        <v>PASS</v>
      </c>
      <c r="E5" s="5" t="s">
        <v>268</v>
      </c>
    </row>
    <row r="6" customFormat="false" ht="15" hidden="false" customHeight="false" outlineLevel="0" collapsed="false">
      <c r="A6" s="7" t="s">
        <v>269</v>
      </c>
      <c r="B6" s="7" t="s">
        <v>270</v>
      </c>
      <c r="C6" s="7" t="n">
        <f aca="false">Assumptions!B23</f>
        <v>0.0025</v>
      </c>
      <c r="D6" s="7" t="str">
        <f aca="false">IF(Assumptions!B23=0.0025,"PASS","FAIL — should be 0.0025")</f>
        <v>PASS</v>
      </c>
      <c r="E6" s="7" t="s">
        <v>271</v>
      </c>
    </row>
    <row r="7" customFormat="false" ht="15" hidden="false" customHeight="false" outlineLevel="0" collapsed="false">
      <c r="A7" s="5" t="s">
        <v>272</v>
      </c>
      <c r="B7" s="5" t="s">
        <v>273</v>
      </c>
      <c r="C7" s="5" t="n">
        <f aca="false">Assumptions!B24</f>
        <v>0.005</v>
      </c>
      <c r="D7" s="5" t="str">
        <f aca="false">IF(Assumptions!B24=0.005,"PASS","FAIL — should be 0.005")</f>
        <v>PASS</v>
      </c>
      <c r="E7" s="5" t="s">
        <v>271</v>
      </c>
    </row>
    <row r="8" customFormat="false" ht="15" hidden="false" customHeight="false" outlineLevel="0" collapsed="false">
      <c r="A8" s="7" t="s">
        <v>274</v>
      </c>
      <c r="B8" s="7" t="s">
        <v>275</v>
      </c>
      <c r="C8" s="7" t="n">
        <f aca="false">Assumptions!B25</f>
        <v>0.02</v>
      </c>
      <c r="D8" s="7" t="str">
        <f aca="false">IF(AND(Assumptions!B25&gt;Assumptions!B22,Assumptions!B25&gt;Assumptions!B23,Assumptions!B25&gt;Assumptions!B24),"PASS","FAIL — free rate should exceed paid conversion")</f>
        <v>PASS</v>
      </c>
      <c r="E8" s="7" t="s">
        <v>276</v>
      </c>
    </row>
    <row r="9" customFormat="false" ht="15" hidden="false" customHeight="false" outlineLevel="0" collapsed="false">
      <c r="A9" s="5" t="s">
        <v>277</v>
      </c>
      <c r="B9" s="5" t="s">
        <v>278</v>
      </c>
      <c r="C9" s="5" t="n">
        <f aca="false">Assumptions!B33</f>
        <v>0.08</v>
      </c>
      <c r="D9" s="5" t="str">
        <f aca="false">IF(Assumptions!B33=0.08,"PASS","FAIL — should be 0.08")</f>
        <v>PASS</v>
      </c>
      <c r="E9" s="5" t="s">
        <v>279</v>
      </c>
    </row>
    <row r="10" customFormat="false" ht="15" hidden="false" customHeight="false" outlineLevel="0" collapsed="false">
      <c r="A10" s="7" t="s">
        <v>280</v>
      </c>
      <c r="B10" s="7" t="s">
        <v>281</v>
      </c>
      <c r="C10" s="7" t="n">
        <f aca="false">Assumptions!B34</f>
        <v>0.12</v>
      </c>
      <c r="D10" s="7" t="str">
        <f aca="false">IF(Assumptions!B34=0.12,"PASS","FAIL — should be 0.12")</f>
        <v>PASS</v>
      </c>
      <c r="E10" s="7" t="s">
        <v>279</v>
      </c>
    </row>
    <row r="11" customFormat="false" ht="15" hidden="false" customHeight="false" outlineLevel="0" collapsed="false">
      <c r="A11" s="5" t="s">
        <v>282</v>
      </c>
      <c r="B11" s="5" t="s">
        <v>283</v>
      </c>
      <c r="C11" s="5" t="n">
        <f aca="false">Assumptions!B35</f>
        <v>0.15</v>
      </c>
      <c r="D11" s="5" t="str">
        <f aca="false">IF(Assumptions!B35=0.15,"PASS","FAIL — should be 0.15 (15% MoM — realistic ceiling for 36-month solo SEO)")</f>
        <v>PASS</v>
      </c>
      <c r="E11" s="5" t="s">
        <v>284</v>
      </c>
    </row>
    <row r="12" customFormat="false" ht="15" hidden="false" customHeight="false" outlineLevel="0" collapsed="false">
      <c r="A12" s="7" t="s">
        <v>285</v>
      </c>
      <c r="B12" s="7" t="s">
        <v>278</v>
      </c>
      <c r="C12" s="7" t="n">
        <f aca="false">Assumptions!B43</f>
        <v>0.08</v>
      </c>
      <c r="D12" s="7" t="str">
        <f aca="false">IF(Assumptions!B43=0.08,"PASS","FAIL — should be 0.08")</f>
        <v>PASS</v>
      </c>
      <c r="E12" s="7" t="s">
        <v>286</v>
      </c>
    </row>
    <row r="13" customFormat="false" ht="15" hidden="false" customHeight="false" outlineLevel="0" collapsed="false">
      <c r="A13" s="5" t="s">
        <v>287</v>
      </c>
      <c r="B13" s="5" t="s">
        <v>288</v>
      </c>
      <c r="C13" s="5" t="n">
        <f aca="false">Assumptions!B44</f>
        <v>0.06</v>
      </c>
      <c r="D13" s="5" t="str">
        <f aca="false">IF(Assumptions!B44=0.06,"PASS","FAIL — should be 0.06")</f>
        <v>PASS</v>
      </c>
      <c r="E13" s="5" t="s">
        <v>286</v>
      </c>
    </row>
    <row r="14" customFormat="false" ht="15" hidden="false" customHeight="false" outlineLevel="0" collapsed="false">
      <c r="A14" s="7" t="s">
        <v>289</v>
      </c>
      <c r="B14" s="7" t="s">
        <v>290</v>
      </c>
      <c r="C14" s="7" t="n">
        <f aca="false">Assumptions!B45</f>
        <v>0.04</v>
      </c>
      <c r="D14" s="7" t="str">
        <f aca="false">IF(Assumptions!B45=0.04,"PASS","FAIL — should be 0.04")</f>
        <v>PASS</v>
      </c>
      <c r="E14" s="7" t="s">
        <v>286</v>
      </c>
    </row>
    <row r="15" customFormat="false" ht="15" hidden="false" customHeight="false" outlineLevel="0" collapsed="false">
      <c r="A15" s="5" t="s">
        <v>291</v>
      </c>
      <c r="B15" s="5" t="s">
        <v>292</v>
      </c>
      <c r="C15" s="5" t="n">
        <f aca="false">Assumptions!B50</f>
        <v>6</v>
      </c>
      <c r="D15" s="5" t="str">
        <f aca="false">IF(Assumptions!B50=6,"PASS","FAIL — should be 6")</f>
        <v>PASS</v>
      </c>
      <c r="E15" s="5" t="s">
        <v>293</v>
      </c>
    </row>
    <row r="16" customFormat="false" ht="15" hidden="false" customHeight="false" outlineLevel="0" collapsed="false">
      <c r="A16" s="7" t="s">
        <v>294</v>
      </c>
      <c r="B16" s="7" t="s">
        <v>295</v>
      </c>
      <c r="C16" s="7" t="n">
        <f aca="false">Assumptions!B102</f>
        <v>10000</v>
      </c>
      <c r="D16" s="7" t="str">
        <f aca="false">IF(Assumptions!B102=10000,"PASS","FAIL — should be 10000")</f>
        <v>PASS</v>
      </c>
      <c r="E16" s="7" t="s">
        <v>296</v>
      </c>
    </row>
    <row r="17" customFormat="false" ht="15" hidden="false" customHeight="false" outlineLevel="0" collapsed="false">
      <c r="A17" s="5" t="s">
        <v>297</v>
      </c>
      <c r="B17" s="5" t="s">
        <v>298</v>
      </c>
      <c r="C17" s="5" t="n">
        <f aca="false">Assumptions!B103</f>
        <v>25000</v>
      </c>
      <c r="D17" s="5" t="str">
        <f aca="false">IF(Assumptions!B103=25000,"PASS","FAIL — should be 25000")</f>
        <v>PASS</v>
      </c>
      <c r="E17" s="5" t="s">
        <v>296</v>
      </c>
    </row>
    <row r="18" customFormat="false" ht="15" hidden="false" customHeight="false" outlineLevel="0" collapsed="false">
      <c r="A18" s="7" t="s">
        <v>299</v>
      </c>
      <c r="B18" s="7" t="s">
        <v>300</v>
      </c>
      <c r="C18" s="7" t="n">
        <f aca="false">Assumptions!B104</f>
        <v>40000</v>
      </c>
      <c r="D18" s="7" t="str">
        <f aca="false">IF(Assumptions!B104=40000,"PASS","FAIL — should be 40000")</f>
        <v>PASS</v>
      </c>
      <c r="E18" s="7" t="s">
        <v>296</v>
      </c>
    </row>
    <row r="19" customFormat="false" ht="15" hidden="false" customHeight="false" outlineLevel="0" collapsed="false">
      <c r="A19" s="5" t="s">
        <v>301</v>
      </c>
      <c r="B19" s="5" t="s">
        <v>302</v>
      </c>
      <c r="C19" s="5" t="n">
        <f aca="false">Assumptions!B105</f>
        <v>65000</v>
      </c>
      <c r="D19" s="5" t="str">
        <f aca="false">IF(Assumptions!B105=65000,"PASS","FAIL — should be 65000")</f>
        <v>PASS</v>
      </c>
      <c r="E19" s="5" t="s">
        <v>296</v>
      </c>
    </row>
    <row r="20" customFormat="false" ht="15" hidden="false" customHeight="false" outlineLevel="0" collapsed="false">
      <c r="A20" s="7" t="s">
        <v>303</v>
      </c>
      <c r="B20" s="7" t="s">
        <v>304</v>
      </c>
      <c r="C20" s="7" t="n">
        <f aca="false">Assumptions!B106</f>
        <v>110000</v>
      </c>
      <c r="D20" s="7" t="str">
        <f aca="false">IF(Assumptions!B106=110000,"PASS","FAIL — should be 110000")</f>
        <v>PASS</v>
      </c>
      <c r="E20" s="7" t="s">
        <v>296</v>
      </c>
    </row>
    <row r="21" customFormat="false" ht="15" hidden="false" customHeight="false" outlineLevel="0" collapsed="false">
      <c r="A21" s="5" t="s">
        <v>305</v>
      </c>
      <c r="B21" s="5" t="s">
        <v>306</v>
      </c>
      <c r="C21" s="5" t="n">
        <f aca="false">Assumptions!B112</f>
        <v>0</v>
      </c>
      <c r="D21" s="5" t="str">
        <f aca="false">IF(Assumptions!B112=0,"PASS","FAIL — Phase 1 must be 0%")</f>
        <v>PASS</v>
      </c>
      <c r="E21" s="5" t="s">
        <v>307</v>
      </c>
    </row>
    <row r="22" customFormat="false" ht="15" hidden="false" customHeight="false" outlineLevel="0" collapsed="false">
      <c r="A22" s="7" t="s">
        <v>308</v>
      </c>
      <c r="B22" s="7" t="s">
        <v>309</v>
      </c>
      <c r="C22" s="7" t="n">
        <f aca="false">Assumptions!B132</f>
        <v>12</v>
      </c>
      <c r="D22" s="7" t="str">
        <f aca="false">IF(Assumptions!B132=12,"PASS","FAIL — should be 12 per PMP v19 §9C")</f>
        <v>PASS</v>
      </c>
      <c r="E22" s="7" t="s">
        <v>310</v>
      </c>
    </row>
    <row r="23" customFormat="false" ht="15" hidden="false" customHeight="false" outlineLevel="0" collapsed="false">
      <c r="A23" s="5" t="s">
        <v>311</v>
      </c>
      <c r="B23" s="5" t="s">
        <v>312</v>
      </c>
      <c r="C23" s="18" t="n">
        <f aca="false">Conservative!U41</f>
        <v>46391</v>
      </c>
      <c r="D23" s="5" t="str">
        <f aca="false">IF(Conservative!U41&gt;0,"PASS","FAIL — Conservative scenario ends negative")</f>
        <v>PASS</v>
      </c>
      <c r="E23" s="5" t="s">
        <v>313</v>
      </c>
    </row>
    <row r="24" customFormat="false" ht="15" hidden="false" customHeight="false" outlineLevel="0" collapsed="false">
      <c r="A24" s="7" t="s">
        <v>314</v>
      </c>
      <c r="B24" s="7" t="s">
        <v>312</v>
      </c>
      <c r="C24" s="20" t="n">
        <f aca="false">Expected!U41</f>
        <v>249148</v>
      </c>
      <c r="D24" s="7" t="str">
        <f aca="false">IF(Expected!U41&gt;0,"PASS","FAIL — Expected scenario ends negative")</f>
        <v>PASS</v>
      </c>
      <c r="E24" s="7" t="s">
        <v>315</v>
      </c>
    </row>
    <row r="25" customFormat="false" ht="15" hidden="false" customHeight="false" outlineLevel="0" collapsed="false">
      <c r="A25" s="5" t="s">
        <v>316</v>
      </c>
      <c r="B25" s="5" t="s">
        <v>317</v>
      </c>
      <c r="C25" s="18" t="n">
        <f aca="false">Conservative!E41</f>
        <v>92</v>
      </c>
      <c r="D25" s="5" t="str">
        <f aca="false">IF(Conservative!E41&gt;0,"PASS","FAIL — no subscribers in Conservative M36")</f>
        <v>PASS</v>
      </c>
      <c r="E25" s="5" t="s">
        <v>318</v>
      </c>
    </row>
    <row r="26" customFormat="false" ht="15" hidden="false" customHeight="false" outlineLevel="0" collapsed="false">
      <c r="A26" s="7" t="s">
        <v>319</v>
      </c>
      <c r="B26" s="7" t="s">
        <v>320</v>
      </c>
      <c r="C26" s="7" t="s">
        <v>321</v>
      </c>
      <c r="D26" s="7" t="str">
        <f aca="false">IF(AND(Assumptions!B103&lt;&gt;16180,Assumptions!B104&lt;&gt;26171,Assumptions!B105&lt;&gt;42325,Assumptions!B106&lt;&gt;68502),"PASS","FAIL — Fibonacci gates still present")</f>
        <v>PASS</v>
      </c>
      <c r="E26" s="7" t="s">
        <v>322</v>
      </c>
    </row>
    <row r="27" customFormat="false" ht="15" hidden="false" customHeight="false" outlineLevel="0" collapsed="false">
      <c r="A27" s="5" t="s">
        <v>323</v>
      </c>
      <c r="B27" s="5" t="s">
        <v>324</v>
      </c>
      <c r="C27" s="18" t="n">
        <f aca="false">Conservative!Q41</f>
        <v>736</v>
      </c>
      <c r="D27" s="5" t="str">
        <f aca="false">IF(Conservative!Q41&gt;0,"PASS","FAIL — Conservative not cash-flow positive by M36")</f>
        <v>PASS</v>
      </c>
      <c r="E27" s="5" t="s">
        <v>325</v>
      </c>
    </row>
    <row r="28" customFormat="false" ht="15" hidden="false" customHeight="false" outlineLevel="0" collapsed="false">
      <c r="A28" s="7" t="s">
        <v>326</v>
      </c>
      <c r="B28" s="7" t="s">
        <v>327</v>
      </c>
      <c r="C28" s="7" t="s">
        <v>327</v>
      </c>
      <c r="D28" s="7" t="str">
        <f aca="false">IF(Assumptions!B66=0.01,"PASS — note: B66 not used in API formula","PASS — static lookup confirmed")</f>
        <v>PASS — note: B66 not used in API formula</v>
      </c>
      <c r="E28" s="7" t="s">
        <v>328</v>
      </c>
    </row>
    <row r="29" customFormat="false" ht="15" hidden="false" customHeight="false" outlineLevel="0" collapsed="false">
      <c r="A29" s="5" t="s">
        <v>329</v>
      </c>
      <c r="B29" s="5" t="s">
        <v>330</v>
      </c>
      <c r="C29" s="5" t="str">
        <f aca="false">Optimistic!H41&amp;" vs "&amp;Conservative!H41</f>
        <v>68781 vs 1056</v>
      </c>
      <c r="D29" s="5" t="str">
        <f aca="false">IF(Optimistic!H41&gt;Conservative!H41,"PASS","FAIL — Optimistic should exceed Conservative")</f>
        <v>PASS</v>
      </c>
      <c r="E29" s="5" t="s">
        <v>331</v>
      </c>
    </row>
    <row r="30" customFormat="false" ht="15" hidden="false" customHeight="false" outlineLevel="0" collapsed="false">
      <c r="A30" s="7" t="s">
        <v>332</v>
      </c>
      <c r="B30" s="7" t="s">
        <v>333</v>
      </c>
      <c r="C30" s="7" t="n">
        <f aca="false">Assumptions!B136</f>
        <v>13</v>
      </c>
      <c r="D30" s="7" t="str">
        <f aca="false">IF(Assumptions!B136=13,"PASS","FAIL — per-case price should be 13")</f>
        <v>PASS</v>
      </c>
      <c r="E30" s="7" t="s">
        <v>334</v>
      </c>
    </row>
    <row r="31" customFormat="false" ht="15" hidden="false" customHeight="false" outlineLevel="0" collapsed="false">
      <c r="A31" s="5" t="s">
        <v>335</v>
      </c>
      <c r="B31" s="5" t="s">
        <v>278</v>
      </c>
      <c r="C31" s="5" t="n">
        <f aca="false">Assumptions!B137</f>
        <v>0.08</v>
      </c>
      <c r="D31" s="5" t="str">
        <f aca="false">IF(Assumptions!B137=0.08,"PASS","FAIL — should be 0.08 per Pricing Strategy v2")</f>
        <v>PASS</v>
      </c>
      <c r="E31" s="5" t="s">
        <v>336</v>
      </c>
    </row>
    <row r="32" customFormat="false" ht="15" hidden="false" customHeight="false" outlineLevel="0" collapsed="false">
      <c r="A32" s="7" t="s">
        <v>337</v>
      </c>
      <c r="B32" s="7" t="s">
        <v>312</v>
      </c>
      <c r="C32" s="20" t="n">
        <f aca="false">Expected!W17</f>
        <v>135</v>
      </c>
      <c r="D32" s="7" t="str">
        <f aca="false">IF(Expected!W17&gt;0,"PASS","FAIL — Expected M12 per-case should be positive")</f>
        <v>PASS</v>
      </c>
      <c r="E32" s="7" t="s">
        <v>338</v>
      </c>
    </row>
    <row r="33" customFormat="false" ht="15" hidden="false" customHeight="false" outlineLevel="0" collapsed="false">
      <c r="A33" s="5" t="s">
        <v>339</v>
      </c>
      <c r="B33" s="5" t="s">
        <v>340</v>
      </c>
      <c r="C33" s="5" t="str">
        <f aca="false">Expected!S41&amp;" vs "&amp;Expected!I41</f>
        <v>29726 vs 9318</v>
      </c>
      <c r="D33" s="5" t="str">
        <f aca="false">IF(Expected!S41&gt;Expected!I41,"PASS","FAIL — Total revenue should exceed sub revenue (referral + per-case add-ons)")</f>
        <v>PASS</v>
      </c>
      <c r="E33" s="5" t="s">
        <v>341</v>
      </c>
    </row>
    <row r="35" customFormat="false" ht="15" hidden="false" customHeight="false" outlineLevel="0" collapsed="false">
      <c r="A35" s="3" t="s">
        <v>342</v>
      </c>
      <c r="B35" s="22" t="s">
        <v>343</v>
      </c>
      <c r="D35" s="3" t="str">
        <f aca="false">COUNTIF(D5:D34,"PASS")&amp;" of 29 PASS"</f>
        <v>28 of 29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344</v>
      </c>
    </row>
    <row r="2" customFormat="false" ht="15" hidden="false" customHeight="false" outlineLevel="0" collapsed="false">
      <c r="A2" s="2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346</v>
      </c>
    </row>
    <row r="2" customFormat="false" ht="15" hidden="false" customHeight="false" outlineLevel="0" collapsed="false">
      <c r="A2" s="2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347</v>
      </c>
    </row>
    <row r="2" customFormat="false" ht="15" hidden="false" customHeight="false" outlineLevel="0" collapsed="false">
      <c r="A2" s="2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2026-03-11T23:29:25Z</dcterms:created>
  <dc:creator>openpyxl</dc:creator>
  <dc:description/>
  <dc:language>en-US</dc:language>
  <cp:lastModifiedBy/>
  <dcterms:modified xsi:type="dcterms:W3CDTF">2026-03-11T23:29:26Z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