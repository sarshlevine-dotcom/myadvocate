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Conservative" sheetId="3" state="visible" r:id="rId5"/>
    <sheet name="Expected" sheetId="4" state="visible" r:id="rId6"/>
    <sheet name="Optimistic" sheetId="5" state="visible" r:id="rId7"/>
    <sheet name="VALIDATION" sheetId="6" state="visible" r:id="rId8"/>
    <sheet name="SEO Model" sheetId="7" state="visible" r:id="rId9"/>
    <sheet name="Agent Deployment" sheetId="8" state="visible" r:id="rId10"/>
    <sheet name="Security Cos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<sst xmlns="http://schemas.openxmlformats.org/spreadsheetml/2006/main" count="511" uniqueCount="422">
  <si>
    <t xml:space="preserve">MyAdvocate Projections v16 — Executive Dashboard</t>
  </si>
  <si>
    <t xml:space="preserve">Source: PMP v22 | v16.0 — March 2026 | NEW: YouTube (MA-YT-001) + Instagram (MA-IG-001) revenue streams integrated</t>
  </si>
  <si>
    <t xml:space="preserve">KEY METRICS — MONTH 36</t>
  </si>
  <si>
    <t xml:space="preserve">Conservative</t>
  </si>
  <si>
    <t xml:space="preserve">Expected</t>
  </si>
  <si>
    <t xml:space="preserve">Optimistic</t>
  </si>
  <si>
    <t xml:space="preserve">Total Monthly Visitors (incl. YT+IG)</t>
  </si>
  <si>
    <t xml:space="preserve">  → Organic SEO Visitors</t>
  </si>
  <si>
    <t xml:space="preserve">  → YT Referral Visitors</t>
  </si>
  <si>
    <t xml:space="preserve">  → IG Direct Visitors</t>
  </si>
  <si>
    <t xml:space="preserve">Paid Subscribers</t>
  </si>
  <si>
    <t xml:space="preserve">MRR ($)</t>
  </si>
  <si>
    <t xml:space="preserve">Monthly Referral Revenue ($)</t>
  </si>
  <si>
    <t xml:space="preserve">Per-Case Revenue ($)</t>
  </si>
  <si>
    <t xml:space="preserve">YT AdSense Revenue ($) ▼NEW</t>
  </si>
  <si>
    <t xml:space="preserve">IG Direct Revenue ($) ▼NEW</t>
  </si>
  <si>
    <t xml:space="preserve">Total Revenue ($)</t>
  </si>
  <si>
    <t xml:space="preserve">Owner's Draw ($)</t>
  </si>
  <si>
    <t xml:space="preserve">Reserve Balance ($)</t>
  </si>
  <si>
    <t xml:space="preserve">Traffic Signal</t>
  </si>
  <si>
    <t xml:space="preserve">3-YEAR TOTALS (M1-M36)</t>
  </si>
  <si>
    <t xml:space="preserve">3-Yr Subscription Revenue</t>
  </si>
  <si>
    <t xml:space="preserve">3-Yr Referral Revenue</t>
  </si>
  <si>
    <t xml:space="preserve">3-Yr Per-Case Revenue</t>
  </si>
  <si>
    <t xml:space="preserve">3-Yr YT AdSense Revenue ▼NEW</t>
  </si>
  <si>
    <t xml:space="preserve">3-Yr IG Direct Revenue ▼NEW</t>
  </si>
  <si>
    <t xml:space="preserve">3-Yr Total Revenue</t>
  </si>
  <si>
    <t xml:space="preserve">CONVERSION &amp; GROWTH ASSUMPTIONS</t>
  </si>
  <si>
    <t xml:space="preserve">Paid Conversion Rate</t>
  </si>
  <si>
    <t xml:space="preserve">Monthly Traffic Growth</t>
  </si>
  <si>
    <t xml:space="preserve">Monthly Churn</t>
  </si>
  <si>
    <t xml:space="preserve">Per-Case Price</t>
  </si>
  <si>
    <t xml:space="preserve">Tool Engagement Rate</t>
  </si>
  <si>
    <t xml:space="preserve">EN AdSense CPM</t>
  </si>
  <si>
    <t xml:space="preserve">IG Bio Link CTR</t>
  </si>
  <si>
    <t xml:space="preserve">MyAdvocate Financial Model v16 — Assumptions</t>
  </si>
  <si>
    <t xml:space="preserve">Source: PMP v22 | Blue = input (user-editable) | Black = calculated | Green = cross-sheet link</t>
  </si>
  <si>
    <t xml:space="preserve">Version: v16.0 — March 2026 | Scenarios: Conservative / Expected / Optimistic | NEW v16: YouTube (MA-YT-001) + Instagram (MA-IG-001)</t>
  </si>
  <si>
    <t xml:space="preserve">CORE BUSINESS ASSUMPTIONS</t>
  </si>
  <si>
    <t xml:space="preserve">Launch Month</t>
  </si>
  <si>
    <t xml:space="preserve">Month 1 = Launch</t>
  </si>
  <si>
    <t xml:space="preserve">Planning Horizon (months)</t>
  </si>
  <si>
    <t xml:space="preserve">3-year projection</t>
  </si>
  <si>
    <t xml:space="preserve">PRICING STRUCTURE</t>
  </si>
  <si>
    <t xml:space="preserve">Founding Advocate Annual Price</t>
  </si>
  <si>
    <t xml:space="preserve">$34/year — first 250 subs, locked forever</t>
  </si>
  <si>
    <t xml:space="preserve">Founding Advocate Monthly Equivalent</t>
  </si>
  <si>
    <t xml:space="preserve">$34/12 — for MRR calculation purposes</t>
  </si>
  <si>
    <t xml:space="preserve">Founding Advocate Renewal Price (Year 2+)</t>
  </si>
  <si>
    <t xml:space="preserve">$55/yr — permanent FA rate after Year 1 lock</t>
  </si>
  <si>
    <t xml:space="preserve">FA Cohort Cap</t>
  </si>
  <si>
    <t xml:space="preserve">Maximum Founding Advocates — hard cap</t>
  </si>
  <si>
    <t xml:space="preserve">Basic Tier Monthly</t>
  </si>
  <si>
    <t xml:space="preserve">Launch tier — all new subs Months 1–8</t>
  </si>
  <si>
    <t xml:space="preserve">Standard Tier Monthly (Month 9+)</t>
  </si>
  <si>
    <t xml:space="preserve">Price increase Month 9 — new subs only</t>
  </si>
  <si>
    <t xml:space="preserve">Advocate Builder Quarterly</t>
  </si>
  <si>
    <t xml:space="preserve">$21/quarter — alternative entry point</t>
  </si>
  <si>
    <t xml:space="preserve">Advocate Builder Monthly Equivalent</t>
  </si>
  <si>
    <t xml:space="preserve">$21/3 — for MRR purposes</t>
  </si>
  <si>
    <t xml:space="preserve">Annual Standard Price</t>
  </si>
  <si>
    <t xml:space="preserve">$55/yr for committed annual subscribers</t>
  </si>
  <si>
    <t xml:space="preserve">Premium Monthly (Phase 4+)</t>
  </si>
  <si>
    <t xml:space="preserve">Native app tier — Phase 4 unlock</t>
  </si>
  <si>
    <t xml:space="preserve">CONVERSION RATES — HEALTHCARE COLD TRAFFIC</t>
  </si>
  <si>
    <t xml:space="preserve">Conservative Paid Conversion Rate</t>
  </si>
  <si>
    <t xml:space="preserve">0.15% — cold traffic baseline. Source: PMP v22 §3</t>
  </si>
  <si>
    <t xml:space="preserve">Expected Paid Conversion Rate</t>
  </si>
  <si>
    <t xml:space="preserve">0.25% — moderate, denial-code SEO boost</t>
  </si>
  <si>
    <t xml:space="preserve">Optimistic Paid Conversion Rate</t>
  </si>
  <si>
    <t xml:space="preserve">0.50% — high-intent denial code + SEO optimization</t>
  </si>
  <si>
    <t xml:space="preserve">Free Signup / Email Capture Rate</t>
  </si>
  <si>
    <t xml:space="preserve">2.0% of total visitors — owned email list growth</t>
  </si>
  <si>
    <t xml:space="preserve">Denial Decoder Free-to-Paid Lift</t>
  </si>
  <si>
    <t xml:space="preserve">15% higher conversion from denial code page visitors</t>
  </si>
  <si>
    <t xml:space="preserve">Founding Advocate Conversion Rate (of early subs)</t>
  </si>
  <si>
    <t xml:space="preserve">~40% of first subs take the FA offer</t>
  </si>
  <si>
    <t xml:space="preserve">SEO TRAFFIC GROWTH MODEL</t>
  </si>
  <si>
    <t xml:space="preserve">Month 1 Traffic — Conservative</t>
  </si>
  <si>
    <t xml:space="preserve">Minimal launch, no prior SEO momentum</t>
  </si>
  <si>
    <t xml:space="preserve">Month 1 Traffic — Expected</t>
  </si>
  <si>
    <t xml:space="preserve">Early SEO content live at launch</t>
  </si>
  <si>
    <t xml:space="preserve">Month 1 Traffic — Optimistic</t>
  </si>
  <si>
    <t xml:space="preserve">Aggressive pre-launch content build</t>
  </si>
  <si>
    <t xml:space="preserve">Monthly Traffic Growth — Conservative</t>
  </si>
  <si>
    <t xml:space="preserve">8% MoM — slow organic compounding</t>
  </si>
  <si>
    <t xml:space="preserve">Monthly Traffic Growth — Expected</t>
  </si>
  <si>
    <t xml:space="preserve">12% MoM — consistent 2x/week publishing</t>
  </si>
  <si>
    <t xml:space="preserve">Monthly Traffic Growth — Optimistic</t>
  </si>
  <si>
    <t xml:space="preserve">15% MoM — aggressive SEO + denial codes indexing fast</t>
  </si>
  <si>
    <t xml:space="preserve">Denial Code Program Traffic Boost (Month 3+)</t>
  </si>
  <si>
    <t xml:space="preserve">15% additional traffic lift from 200+ denial code pages indexing</t>
  </si>
  <si>
    <t xml:space="preserve">Content Cluster Maturity Boost (Month 6+)</t>
  </si>
  <si>
    <t xml:space="preserve">8% additional lift as pillar/cluster architecture matures</t>
  </si>
  <si>
    <t xml:space="preserve">Publishing Cadence (articles/week)</t>
  </si>
  <si>
    <t xml:space="preserve">2x/week per PMP v22 §4C — sustained from Month 1</t>
  </si>
  <si>
    <t xml:space="preserve">Denial Code Pages (Month 3 launch)</t>
  </si>
  <si>
    <t xml:space="preserve">200 denial code pages built — one-time SEO asset</t>
  </si>
  <si>
    <t xml:space="preserve">Month 12 Cumulative Articles Target</t>
  </si>
  <si>
    <t xml:space="preserve">~2x/week × 26 weeks = ~52 articles + backlog</t>
  </si>
  <si>
    <t xml:space="preserve">CHURN &amp; RETENTION</t>
  </si>
  <si>
    <t xml:space="preserve">Monthly Churn — Conservative</t>
  </si>
  <si>
    <t xml:space="preserve">8% monthly churn — challenging retention environment</t>
  </si>
  <si>
    <t xml:space="preserve">Monthly Churn — Expected</t>
  </si>
  <si>
    <t xml:space="preserve">6% monthly churn — decent product-market fit</t>
  </si>
  <si>
    <t xml:space="preserve">Monthly Churn — Optimistic</t>
  </si>
  <si>
    <t xml:space="preserve">4% monthly churn — strong engagement, content value</t>
  </si>
  <si>
    <t xml:space="preserve">Founding Advocate Churn Rate</t>
  </si>
  <si>
    <t xml:space="preserve">2% — locked pricing creates loyalty. Grandfathered rate.</t>
  </si>
  <si>
    <t xml:space="preserve">Annual Subscriber Churn Rate</t>
  </si>
  <si>
    <t xml:space="preserve">4% annual — commitment reduces churn significantly</t>
  </si>
  <si>
    <t xml:space="preserve">ATTORNEY REFERRAL ECONOMICS — TRAFFIC-BASED FLAT RATE</t>
  </si>
  <si>
    <t xml:space="preserve">Referral Program Start Month</t>
  </si>
  <si>
    <t xml:space="preserve">Month 6 — Signal 1 gate. Source: PMP v22 §3</t>
  </si>
  <si>
    <t xml:space="preserve">Referral Conversion Rate (of total visitors)</t>
  </si>
  <si>
    <t xml:space="preserve">0.1% of monthly visitors → referred. Living assumption.</t>
  </si>
  <si>
    <t xml:space="preserve">Blended Revenue per Referral ($)</t>
  </si>
  <si>
    <t xml:space="preserve">$350 blended — midpoint of $300–$400 range. Update with actuals.</t>
  </si>
  <si>
    <t xml:space="preserve">COSTS — API &amp; INFRASTRUCTURE</t>
  </si>
  <si>
    <t xml:space="preserve">Cost per Letter Generation (Claude API)</t>
  </si>
  <si>
    <t xml:space="preserve">Per letter — claude-haiku default. Source: MA-COST-001</t>
  </si>
  <si>
    <t xml:space="preserve">Cost per Denial Decoder Lookup</t>
  </si>
  <si>
    <t xml:space="preserve">Static lookup — no LLM call in Phase 2</t>
  </si>
  <si>
    <t xml:space="preserve">Cost per Document Parse</t>
  </si>
  <si>
    <t xml:space="preserve">Bounded document parsing</t>
  </si>
  <si>
    <t xml:space="preserve">Letters per Paid Sub per Month</t>
  </si>
  <si>
    <t xml:space="preserve">Average usage — 2 tools × ~1.75 letters each</t>
  </si>
  <si>
    <t xml:space="preserve">Denial Decoder Lookups per User per Month (free)</t>
  </si>
  <si>
    <t xml:space="preserve">Free tier usage — no signup required</t>
  </si>
  <si>
    <t xml:space="preserve">Base Infrastructure Monthly</t>
  </si>
  <si>
    <t xml:space="preserve">Vercel + Supabase + domain — Phase 1 baseline</t>
  </si>
  <si>
    <t xml:space="preserve">Anthropic API Hard Cap Monthly</t>
  </si>
  <si>
    <t xml:space="preserve">Emergency shutoff cap — budget-monitor.ts tripwire</t>
  </si>
  <si>
    <t xml:space="preserve">Infrastructure Scale Threshold (subs)</t>
  </si>
  <si>
    <t xml:space="preserve">Upgrade Vercel/Supabase to paid at ~500 subs (+$45/mo)</t>
  </si>
  <si>
    <t xml:space="preserve">COSTS — CONTENT &amp; SEO</t>
  </si>
  <si>
    <t xml:space="preserve">Content Production Cost per Article</t>
  </si>
  <si>
    <t xml:space="preserve">Founder-written Phase 1 — $0 direct cost</t>
  </si>
  <si>
    <t xml:space="preserve">SEO Tool Stack Monthly (Ahrefs Lite)</t>
  </si>
  <si>
    <t xml:space="preserve">Ahrefs Lite $29/mo. GSC free.</t>
  </si>
  <si>
    <t xml:space="preserve">Social Scheduling (Buffer)</t>
  </si>
  <si>
    <t xml:space="preserve">$6/mo for cross-platform scheduling</t>
  </si>
  <si>
    <t xml:space="preserve">Denial Code Database Build Cost</t>
  </si>
  <si>
    <t xml:space="preserve">Founder-built — data is public</t>
  </si>
  <si>
    <t xml:space="preserve">COSTS — PLATFORM OPERATIONS</t>
  </si>
  <si>
    <t xml:space="preserve">n8n Pro Monthly</t>
  </si>
  <si>
    <t xml:space="preserve">Board of Agents automation platform</t>
  </si>
  <si>
    <t xml:space="preserve">Claude Code Monthly (Founder Dev)</t>
  </si>
  <si>
    <t xml:space="preserve">Anthropic Pro plan — development only, not user-facing</t>
  </si>
  <si>
    <t xml:space="preserve">Beehiiv Monthly (to 1k subs)</t>
  </si>
  <si>
    <t xml:space="preserve">Free tier covers first 1,000 email subscribers</t>
  </si>
  <si>
    <t xml:space="preserve">Beehiiv Monthly (1k+ subs)</t>
  </si>
  <si>
    <t xml:space="preserve">$42/mo Beehiiv Scale — activates at ~1k email subs (~Month 12)</t>
  </si>
  <si>
    <t xml:space="preserve">Stripe Transaction Fee %</t>
  </si>
  <si>
    <t xml:space="preserve">2.9% per transaction</t>
  </si>
  <si>
    <t xml:space="preserve">Stripe Fixed Fee per Transaction</t>
  </si>
  <si>
    <t xml:space="preserve">$0.30 per transaction</t>
  </si>
  <si>
    <t xml:space="preserve">Google Workspace + Domain Annual</t>
  </si>
  <si>
    <t xml:space="preserve">$10/mo equiv — sarsh@getmyadvocate.org + domain</t>
  </si>
  <si>
    <t xml:space="preserve">ONE-TIME LAUNCH COSTS</t>
  </si>
  <si>
    <t xml:space="preserve">Healthcare Compliance Attorney Review</t>
  </si>
  <si>
    <t xml:space="preserve">$1,500–$3,000 range — using midpoint. Source: PMP v22 §11</t>
  </si>
  <si>
    <t xml:space="preserve">Security Audit (External)</t>
  </si>
  <si>
    <t xml:space="preserve">External audit — Month 1 launch blocker</t>
  </si>
  <si>
    <t xml:space="preserve">LLC Formation / DBA Registration</t>
  </si>
  <si>
    <t xml:space="preserve">Already done — included for completeness</t>
  </si>
  <si>
    <t xml:space="preserve">Total One-Time Launch Costs</t>
  </si>
  <si>
    <t xml:space="preserve">Sum of one-time items</t>
  </si>
  <si>
    <t xml:space="preserve">TRAFFIC MILESTONE GATES — PMP v22 §3</t>
  </si>
  <si>
    <t xml:space="preserve">Signal 1 — Phase 2 Unlock</t>
  </si>
  <si>
    <t xml:space="preserve">10,000 monthly visitors. Referral outreach + CMO/COO agents</t>
  </si>
  <si>
    <t xml:space="preserve">Signal 2 — Phase 3 Unlock</t>
  </si>
  <si>
    <t xml:space="preserve">25,000 monthly visitors AND $5,000 MRR. CSO/CPO agents</t>
  </si>
  <si>
    <t xml:space="preserve">Signal 3 — Fractional Hire Consider</t>
  </si>
  <si>
    <t xml:space="preserve">40,000 monthly visitors. Referral automation, fractional help</t>
  </si>
  <si>
    <t xml:space="preserve">Signal 4 — Phase 4 Scale</t>
  </si>
  <si>
    <t xml:space="preserve">65,000 monthly visitors AND $15,000 MRR. Full agent stack</t>
  </si>
  <si>
    <t xml:space="preserve">Signal 5 — B2B + Native App</t>
  </si>
  <si>
    <t xml:space="preserve">110,000 monthly visitors. B2B outreach, VA hire</t>
  </si>
  <si>
    <t xml:space="preserve">Signal 6 — First Full-Time Hire Assessment</t>
  </si>
  <si>
    <t xml:space="preserve">175,000 monthly visitors. Full-time transition review</t>
  </si>
  <si>
    <t xml:space="preserve">Signal 2 MRR Gate</t>
  </si>
  <si>
    <t xml:space="preserve">$5,000 MRR required alongside Signal 2 traffic</t>
  </si>
  <si>
    <t xml:space="preserve">Signal 4 MRR Gate</t>
  </si>
  <si>
    <t xml:space="preserve">$15,000 MRR required alongside Signal 4 traffic</t>
  </si>
  <si>
    <t xml:space="preserve">FOUNDER COMPENSATION — PHASE-GATED WITHDRAWAL RATES</t>
  </si>
  <si>
    <t xml:space="preserve">Phase 1 Withdrawal Rate</t>
  </si>
  <si>
    <t xml:space="preserve">0% — all profit builds reserve. No exceptions.</t>
  </si>
  <si>
    <t xml:space="preserve">Phase 2 Withdrawal Rate (Baseline)</t>
  </si>
  <si>
    <t xml:space="preserve">23.6% of monthly profit — Phase 2 standard</t>
  </si>
  <si>
    <t xml:space="preserve">Phase 3 Withdrawal Rate (Baseline)</t>
  </si>
  <si>
    <t xml:space="preserve">38.2% of monthly profit — Phase 3 standard</t>
  </si>
  <si>
    <t xml:space="preserve">Phase 4 Withdrawal Rate (Baseline)</t>
  </si>
  <si>
    <t xml:space="preserve">61.8% of monthly profit — Phase 4 standard</t>
  </si>
  <si>
    <t xml:space="preserve">Native App Development Fund %</t>
  </si>
  <si>
    <t xml:space="preserve">20% of monthly profit → app development fund</t>
  </si>
  <si>
    <t xml:space="preserve">Phase 2 Reserve Floor (months of opex)</t>
  </si>
  <si>
    <t xml:space="preserve">3-month reserve required for Phase 2 withdrawal</t>
  </si>
  <si>
    <t xml:space="preserve">Phase 3 Reserve Floor (months of opex)</t>
  </si>
  <si>
    <t xml:space="preserve">6-month reserve required for Phase 3 withdrawal</t>
  </si>
  <si>
    <t xml:space="preserve">Phase 4 Reserve Floor (months of opex)</t>
  </si>
  <si>
    <t xml:space="preserve">12-month reserve for Phase 4 withdrawal</t>
  </si>
  <si>
    <t xml:space="preserve">PROFIT RELEASE WINDOWS — DISCRETIONARY DRAW CAPS</t>
  </si>
  <si>
    <t xml:space="preserve">Level 4-5 (Phase 2) Quarterly Reserve Bar</t>
  </si>
  <si>
    <t xml:space="preserve">4 months — standard quarterly PRW bar</t>
  </si>
  <si>
    <t xml:space="preserve">Level 4-5 (Phase 2) Monthly Trigger Reserve Bar</t>
  </si>
  <si>
    <t xml:space="preserve">6 months — higher bar for monthly trigger option</t>
  </si>
  <si>
    <t xml:space="preserve">Level 4-5 Discretionary Cap</t>
  </si>
  <si>
    <t xml:space="preserve">35% of monthly profit — max with health check</t>
  </si>
  <si>
    <t xml:space="preserve">Level 6-7 (Phase 3) Quarterly Reserve Bar</t>
  </si>
  <si>
    <t xml:space="preserve">6 months</t>
  </si>
  <si>
    <t xml:space="preserve">Level 6-7 (Phase 3) Monthly Trigger Reserve Bar</t>
  </si>
  <si>
    <t xml:space="preserve">8 months</t>
  </si>
  <si>
    <t xml:space="preserve">Level 6-7 Discretionary Cap</t>
  </si>
  <si>
    <t xml:space="preserve">55% of monthly profit</t>
  </si>
  <si>
    <t xml:space="preserve">Level 8 (Phase 4) Quarterly Reserve Bar</t>
  </si>
  <si>
    <t xml:space="preserve">Level 8 Monthly Trigger Reserve Bar</t>
  </si>
  <si>
    <t xml:space="preserve">10 months</t>
  </si>
  <si>
    <t xml:space="preserve">Level 8 Discretionary Cap</t>
  </si>
  <si>
    <t xml:space="preserve">75% of monthly profit</t>
  </si>
  <si>
    <t xml:space="preserve">Level 9 (Phase 4+) Quarterly Reserve Bar</t>
  </si>
  <si>
    <t xml:space="preserve">Level 9 Monthly Trigger Reserve Bar</t>
  </si>
  <si>
    <t xml:space="preserve">12 months — fortress reserve required</t>
  </si>
  <si>
    <t xml:space="preserve">Level 9 Discretionary Cap</t>
  </si>
  <si>
    <t xml:space="preserve">85% — full discretion within reserve floor</t>
  </si>
  <si>
    <t xml:space="preserve">PER-CASE REVENUE ASSUMPTIONS — v14 ADDITION (Pricing Strategy v2)</t>
  </si>
  <si>
    <t xml:space="preserve">Per-Case Letter Price ($)</t>
  </si>
  <si>
    <t xml:space="preserve">$13 one-time — equals Standard tier price. Source: Pricing Strategy v2 §4.3</t>
  </si>
  <si>
    <t xml:space="preserve">Letter Tool Engagement Rate (free users)</t>
  </si>
  <si>
    <t xml:space="preserve">8% of total visitors use a LETTER tool. Source: Pricing Strategy v2 §5.1</t>
  </si>
  <si>
    <t xml:space="preserve">Free-to-Second-Letter Rate</t>
  </si>
  <si>
    <t xml:space="preserve">15% of engaged tool users need 2nd letter in same calendar month</t>
  </si>
  <si>
    <t xml:space="preserve">Per-Case Purchase Rate (of those needing 2nd letter)</t>
  </si>
  <si>
    <t xml:space="preserve">25% choose $13 single letter vs. subscribe or leave</t>
  </si>
  <si>
    <t xml:space="preserve">Per-Case to Subscription Rate (90-day upside — NOT modeled)</t>
  </si>
  <si>
    <t xml:space="preserve">20% secondary conversion upside. Excluded from primary projections.</t>
  </si>
  <si>
    <t xml:space="preserve">YOUTUBE CHANNEL ASSUMPTIONS — NEW IN v16 (MA-YT-001)</t>
  </si>
  <si>
    <t xml:space="preserve">YT Content Start Month (EN)</t>
  </si>
  <si>
    <t xml:space="preserve">Phase 1: 1 Short/week. Source: MA-YT-001 §4</t>
  </si>
  <si>
    <t xml:space="preserve">YT EN YPP Month (1k subs target)</t>
  </si>
  <si>
    <t xml:space="preserve">YPP: 1k subs + 4k watch hours. Source: MA-YT-001 §4</t>
  </si>
  <si>
    <t xml:space="preserve">YT ES YPP Month</t>
  </si>
  <si>
    <t xml:space="preserve">ES channel launches M9; YPP ~4mo after EN. Source: MA-YT-001</t>
  </si>
  <si>
    <t xml:space="preserve">EN AdSense CPM — Healthcare ($)</t>
  </si>
  <si>
    <t xml:space="preserve">CONSERVATIVE: low end of $8-$15 range. Source: MA-YT-001</t>
  </si>
  <si>
    <t xml:space="preserve">ES AdSense CPM ($)</t>
  </si>
  <si>
    <t xml:space="preserve">CONSERVATIVE: lower CPM for Spanish healthcare content. Estimate.</t>
  </si>
  <si>
    <t xml:space="preserve">YouTube Tool Cost/Month ($)</t>
  </si>
  <si>
    <t xml:space="preserve">HeyGen $24 + ElevenLabs $22 + Claude API ~$15 + Whisper ~$5. Source: MA-YT-001</t>
  </si>
  <si>
    <t xml:space="preserve">EN Monthly Views M12-M15</t>
  </si>
  <si>
    <t xml:space="preserve">CONSERVATIVE: low end at YPP threshold. Source: MA-YT-001 §4 (expected: 6k)</t>
  </si>
  <si>
    <t xml:space="preserve">EN Monthly Views M16-M24</t>
  </si>
  <si>
    <t xml:space="preserve">CONSERVATIVE: growing post-YPP. (expected: 10k+)</t>
  </si>
  <si>
    <t xml:space="preserve">EN Monthly Views M25-M36</t>
  </si>
  <si>
    <t xml:space="preserve">CONSERVATIVE: compounding but solo ops limit. (expected: 20k+)</t>
  </si>
  <si>
    <t xml:space="preserve">ES Views Ratio vs EN</t>
  </si>
  <si>
    <t xml:space="preserve">CONSERVATIVE: 50% of EN views. Source: MA-YT-001 — 60% expected; use 50%</t>
  </si>
  <si>
    <t xml:space="preserve">YT Referral Visitors M1-M5 (pre-content)</t>
  </si>
  <si>
    <t xml:space="preserve">No content yet — zero referral traffic</t>
  </si>
  <si>
    <t xml:space="preserve">YT Referral Visitors M6-M8</t>
  </si>
  <si>
    <t xml:space="preserve">CONSERVATIVE: minimal videos, ~1% CTR on early views</t>
  </si>
  <si>
    <t xml:space="preserve">YT Referral Visitors M9-M11</t>
  </si>
  <si>
    <t xml:space="preserve">CONSERVATIVE: ES channel adds reach, more consistent content</t>
  </si>
  <si>
    <t xml:space="preserve">YT Referral Visitors M12-M15</t>
  </si>
  <si>
    <t xml:space="preserve">CONSERVATIVE: post-YPP milestone, growing audience</t>
  </si>
  <si>
    <t xml:space="preserve">YT Referral Visitors M16-M24</t>
  </si>
  <si>
    <t xml:space="preserve">CONSERVATIVE: both EN+ES channels growing</t>
  </si>
  <si>
    <t xml:space="preserve">YT Referral Visitors M25-M36</t>
  </si>
  <si>
    <t xml:space="preserve">CONSERVATIVE: compounding but solo operation ceiling</t>
  </si>
  <si>
    <t xml:space="preserve">INSTAGRAM CHANNEL ASSUMPTIONS — NEW IN v16 (MA-IG-001)</t>
  </si>
  <si>
    <t xml:space="preserve">IG Launch Month</t>
  </si>
  <si>
    <t xml:space="preserve">Gate 0 already eligible (platform live + SEO article). Source: MA-IG-001</t>
  </si>
  <si>
    <t xml:space="preserve">IG Starting Followers</t>
  </si>
  <si>
    <t xml:space="preserve">Organic seed audience at launch</t>
  </si>
  <si>
    <t xml:space="preserve">IG Follower Growth M1-M6 (MoM %)</t>
  </si>
  <si>
    <t xml:space="preserve">CONSERVATIVE: 20%/mo. Source: MA-IG-001 — 25% expected; use 20%</t>
  </si>
  <si>
    <t xml:space="preserve">IG Follower Growth M7-M12 (MoM %)</t>
  </si>
  <si>
    <t xml:space="preserve">Moderate deceleration</t>
  </si>
  <si>
    <t xml:space="preserve">IG Follower Growth M13-M36 (MoM %)</t>
  </si>
  <si>
    <t xml:space="preserve">Mature growth, conservative</t>
  </si>
  <si>
    <t xml:space="preserve">IG Bio Link CTR (% of followers visiting site/mo)</t>
  </si>
  <si>
    <t xml:space="preserve">CONSERVATIVE: 0.3% of followers click bio link per month</t>
  </si>
  <si>
    <t xml:space="preserve">IG Direct Revenue at 500 followers ($/mo)</t>
  </si>
  <si>
    <t xml:space="preserve">CONSERVATIVE: low end of $0-$21 range. Source: MA-IG-001</t>
  </si>
  <si>
    <t xml:space="preserve">IG Direct Revenue at 2k followers ($/mo)</t>
  </si>
  <si>
    <t xml:space="preserve">CONSERVATIVE: low-mid of $8-$63 range. Source: MA-IG-001</t>
  </si>
  <si>
    <t xml:space="preserve">IG Direct Revenue at 5k followers ($/mo)</t>
  </si>
  <si>
    <t xml:space="preserve">CONSERVATIVE: low-mid of $16-$126 range. Source: MA-IG-001</t>
  </si>
  <si>
    <t xml:space="preserve">IG Direct Revenue at 10k followers ($/mo)</t>
  </si>
  <si>
    <t xml:space="preserve">CONSERVATIVE: low end of $40-$252 range. Source: MA-IG-001</t>
  </si>
  <si>
    <t xml:space="preserve">CONSERVATIVE SCENARIO — Conservative Growth</t>
  </si>
  <si>
    <t xml:space="preserve">0.15% paid conversion | 8% MoM traffic growth | 8% monthly churn | Referral: 0.1% of total visitors x $350 blended</t>
  </si>
  <si>
    <t xml:space="preserve">Blue = hardcoded inputs | Black = calculated formulas | Green = Assumptions references | ▼ = NEW v16 columns (YT+IG integration)</t>
  </si>
  <si>
    <t xml:space="preserve">Month</t>
  </si>
  <si>
    <t xml:space="preserve">Organic
Visitors</t>
  </si>
  <si>
    <t xml:space="preserve">Free Signups
(Email 2%)</t>
  </si>
  <si>
    <t xml:space="preserve">New Paid
Subs</t>
  </si>
  <si>
    <t xml:space="preserve">Total Paid
Subs</t>
  </si>
  <si>
    <t xml:space="preserve">Churn
This Month</t>
  </si>
  <si>
    <t xml:space="preserve">Net New
Subs</t>
  </si>
  <si>
    <t xml:space="preserve">MRR
($)</t>
  </si>
  <si>
    <t xml:space="preserve">Monthly
Revenue ($)</t>
  </si>
  <si>
    <t xml:space="preserve">Letter
Gens</t>
  </si>
  <si>
    <t xml:space="preserve">API
Costs ($)</t>
  </si>
  <si>
    <t xml:space="preserve">Infra
($)</t>
  </si>
  <si>
    <t xml:space="preserve">Content/
SEO ($)</t>
  </si>
  <si>
    <t xml:space="preserve">n8n+Tools
($)</t>
  </si>
  <si>
    <t xml:space="preserve">Stripe
Fees ($)</t>
  </si>
  <si>
    <t xml:space="preserve">Total
Costs ($)</t>
  </si>
  <si>
    <t xml:space="preserve">Gross
Profit ($)</t>
  </si>
  <si>
    <t xml:space="preserve">Referral
Revenue ($)</t>
  </si>
  <si>
    <t xml:space="preserve">Total
Revenue ($)</t>
  </si>
  <si>
    <t xml:space="preserve">Owner's
Draw ($)</t>
  </si>
  <si>
    <t xml:space="preserve">Reserve
Balance ($)</t>
  </si>
  <si>
    <t xml:space="preserve">Traffic
Signal</t>
  </si>
  <si>
    <t xml:space="preserve">Per-Case
Revenue ($)</t>
  </si>
  <si>
    <t xml:space="preserve">Free Tier
API Cost ($)</t>
  </si>
  <si>
    <t xml:space="preserve">IG
Followers ▼</t>
  </si>
  <si>
    <t xml:space="preserve">YT Referral
Visitors ▼</t>
  </si>
  <si>
    <t xml:space="preserve">IG Direct
Visitors ▼</t>
  </si>
  <si>
    <t xml:space="preserve">TOTAL
Visitors ▼</t>
  </si>
  <si>
    <t xml:space="preserve">YT AdSense
Revenue ($) ▼</t>
  </si>
  <si>
    <t xml:space="preserve">IG Direct
Revenue ($) ▼</t>
  </si>
  <si>
    <t xml:space="preserve">TOTALS</t>
  </si>
  <si>
    <t xml:space="preserve">AVG MO</t>
  </si>
  <si>
    <t xml:space="preserve">M36</t>
  </si>
  <si>
    <t xml:space="preserve">EXPECTED SCENARIO — Expected Growth</t>
  </si>
  <si>
    <t xml:space="preserve">0.25% paid conversion | 12% MoM traffic growth | 6% monthly churn | Referral: 0.1% of total visitors x $350 blended</t>
  </si>
  <si>
    <t xml:space="preserve">OPTIMISTIC SCENARIO — Optimistic Growth</t>
  </si>
  <si>
    <t xml:space="preserve">0.50% paid conversion | 15% MoM traffic growth | 4% monthly churn | Referral: 0.1% of total visitors x $350 blended</t>
  </si>
  <si>
    <t xml:space="preserve">VALIDATION CHECKS — ALL MUST SHOW PASS BEFORE RELEASE</t>
  </si>
  <si>
    <t xml:space="preserve">Run this sheet after every model update. Any FAIL blocks release.</t>
  </si>
  <si>
    <t xml:space="preserve">Check</t>
  </si>
  <si>
    <t xml:space="preserve">Actual / Formula</t>
  </si>
  <si>
    <t xml:space="preserve">Status</t>
  </si>
  <si>
    <t xml:space="preserve">Notes</t>
  </si>
  <si>
    <t xml:space="preserve">Conservative conversion rate correct (B22)</t>
  </si>
  <si>
    <t xml:space="preserve">0.15%</t>
  </si>
  <si>
    <t xml:space="preserve">Core formula check.</t>
  </si>
  <si>
    <t xml:space="preserve">Expected conversion rate correct (B23)</t>
  </si>
  <si>
    <t xml:space="preserve">0.25%</t>
  </si>
  <si>
    <t xml:space="preserve">Optimistic conversion rate correct (B24)</t>
  </si>
  <si>
    <t xml:space="preserve">0.50%</t>
  </si>
  <si>
    <t xml:space="preserve">Free signup rate &gt; all paid conv rates</t>
  </si>
  <si>
    <t xml:space="preserve">B25 &gt; B22/B23/B24</t>
  </si>
  <si>
    <t xml:space="preserve">Email capture always &gt; paid conversion.</t>
  </si>
  <si>
    <t xml:space="preserve">Conservative traffic growth = 8%</t>
  </si>
  <si>
    <t xml:space="preserve">8%</t>
  </si>
  <si>
    <t xml:space="preserve">Traffic model check.</t>
  </si>
  <si>
    <t xml:space="preserve">Expected traffic growth = 12%</t>
  </si>
  <si>
    <t xml:space="preserve">12%</t>
  </si>
  <si>
    <t xml:space="preserve">Optimistic traffic growth = 15%</t>
  </si>
  <si>
    <t xml:space="preserve">15%</t>
  </si>
  <si>
    <t xml:space="preserve">15% for 36mo = ~190k visitors. Defensible for aggressive healthcare SEO.</t>
  </si>
  <si>
    <t xml:space="preserve">Conservative churn = 8%</t>
  </si>
  <si>
    <t xml:space="preserve">Churn model check.</t>
  </si>
  <si>
    <t xml:space="preserve">Expected churn = 6%</t>
  </si>
  <si>
    <t xml:space="preserve">6%</t>
  </si>
  <si>
    <t xml:space="preserve">Optimistic churn = 4%</t>
  </si>
  <si>
    <t xml:space="preserve">4%</t>
  </si>
  <si>
    <t xml:space="preserve">Referral program starts Month 6</t>
  </si>
  <si>
    <t xml:space="preserve">6</t>
  </si>
  <si>
    <t xml:space="preserve">Source: PMP v22 §3.</t>
  </si>
  <si>
    <t xml:space="preserve">Signal 1 gate = 10,000 visitors</t>
  </si>
  <si>
    <t xml:space="preserve">10,000</t>
  </si>
  <si>
    <t xml:space="preserve">PMP v22 §3 gate.</t>
  </si>
  <si>
    <t xml:space="preserve">Signal 2 gate = 25,000 visitors</t>
  </si>
  <si>
    <t xml:space="preserve">25,000</t>
  </si>
  <si>
    <t xml:space="preserve">Signal 3 gate = 40,000 visitors</t>
  </si>
  <si>
    <t xml:space="preserve">40,000</t>
  </si>
  <si>
    <t xml:space="preserve">Signal 4 gate = 65,000 visitors</t>
  </si>
  <si>
    <t xml:space="preserve">65,000</t>
  </si>
  <si>
    <t xml:space="preserve">Signal 5 gate = 110,000 visitors</t>
  </si>
  <si>
    <t xml:space="preserve">110,000</t>
  </si>
  <si>
    <t xml:space="preserve">Phase 1 withdrawal = 0%</t>
  </si>
  <si>
    <t xml:space="preserve">0%</t>
  </si>
  <si>
    <t xml:space="preserve">Non-negotiable. No Phase 1 withdrawals.</t>
  </si>
  <si>
    <t xml:space="preserve">Level 9 monthly PRW bar = 12 months</t>
  </si>
  <si>
    <t xml:space="preserve">12</t>
  </si>
  <si>
    <t xml:space="preserve">PMP v22 §9C: Level 9 monthly trigger.</t>
  </si>
  <si>
    <t xml:space="preserve">Conservative M36 reserve positive</t>
  </si>
  <si>
    <t xml:space="preserve">&gt;$0</t>
  </si>
  <si>
    <t xml:space="preserve">Business must be self-sustaining by M36.</t>
  </si>
  <si>
    <t xml:space="preserve">Expected M36 reserve positive</t>
  </si>
  <si>
    <t xml:space="preserve">Expected scenario reserve check.</t>
  </si>
  <si>
    <t xml:space="preserve">Conservative M36 subscribers &gt; 0</t>
  </si>
  <si>
    <t xml:space="preserve">&gt;0</t>
  </si>
  <si>
    <t xml:space="preserve">Basic growth sanity check.</t>
  </si>
  <si>
    <t xml:space="preserve">Conservative M36 monthly cash-flow positive</t>
  </si>
  <si>
    <t xml:space="preserve">Q M36 &gt; $0</t>
  </si>
  <si>
    <t xml:space="preserve">Monthly profit must be positive by M36.</t>
  </si>
  <si>
    <t xml:space="preserve">Optimistic M36 MRR &gt; Conservative M36 MRR</t>
  </si>
  <si>
    <t xml:space="preserve">Opt &gt; Cons</t>
  </si>
  <si>
    <t xml:space="preserve">Scenario ordering sanity check.</t>
  </si>
  <si>
    <t xml:space="preserve">Per-case price = $13</t>
  </si>
  <si>
    <t xml:space="preserve">$13</t>
  </si>
  <si>
    <t xml:space="preserve">v14 addition. Per-case = Standard tier price.</t>
  </si>
  <si>
    <t xml:space="preserve">Letter tool engagement rate = 8%</t>
  </si>
  <si>
    <t xml:space="preserve">v14 addition. Free letter tool engagement.</t>
  </si>
  <si>
    <t xml:space="preserve">Per-case revenue positive in Expected M12</t>
  </si>
  <si>
    <t xml:space="preserve">v14 addition. Sanity check per-case formula.</t>
  </si>
  <si>
    <t xml:space="preserve">Total revenue &gt; sub revenue in Expected M36</t>
  </si>
  <si>
    <t xml:space="preserve">S41&gt;I41</t>
  </si>
  <si>
    <t xml:space="preserve">v14 addition. Confirms per-case+referral+YT+IG are additive.</t>
  </si>
  <si>
    <t xml:space="preserve">YT tool cost active from M3 in Expected</t>
  </si>
  <si>
    <t xml:space="preserve">$66/mo</t>
  </si>
  <si>
    <t xml:space="preserve">v16: YT tool cost (B148) should add to n8n+Tools from M3.</t>
  </si>
  <si>
    <t xml:space="preserve">YT AdSense revenue positive at M12 Expected</t>
  </si>
  <si>
    <t xml:space="preserve">v16: YPP active at M12 (B144=12). AdSense formula check.</t>
  </si>
  <si>
    <t xml:space="preserve">IG followers growing in Expected</t>
  </si>
  <si>
    <t xml:space="preserve">Y36 &gt; Y1</t>
  </si>
  <si>
    <t xml:space="preserve">v16: IG follower compound growth sanity.</t>
  </si>
  <si>
    <t xml:space="preserve">IG direct revenue positive when &gt;500 followers</t>
  </si>
  <si>
    <t xml:space="preserve">v16: IG revenue at 500-follower gate.</t>
  </si>
  <si>
    <t xml:space="preserve">Total visitors &gt; organic visitors (YT+IG additive)</t>
  </si>
  <si>
    <t xml:space="preserve">AB &gt; B</t>
  </si>
  <si>
    <t xml:space="preserve">v16: YT+IG uplift confirmed in Total Visitors column.</t>
  </si>
  <si>
    <t xml:space="preserve">TOTAL CHECKS</t>
  </si>
  <si>
    <t xml:space="preserve">32 checks</t>
  </si>
  <si>
    <t xml:space="preserve">SEO Model — See PMP v22 for full specification. Carried forward from v14.</t>
  </si>
  <si>
    <t xml:space="preserve">Agent Deployment — See MA-AGT-001 for full specification. Carried forward from v14.</t>
  </si>
  <si>
    <t xml:space="preserve">Security Costs — See MA-SEC-002 for full specification. Carried forward from v14.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</si>
</sst>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$#,##0;&quot;($&quot;#,##0\);\-"/>
    <numFmt numFmtId="167" formatCode="0.00%;\(0.0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8"/>
      <color rgb="FF59595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9"/>
      <color rgb="FFFFFF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006400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E2EFDA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5" customFormat="false" ht="15" hidden="false" customHeight="false" outlineLevel="0" collapsed="false">
      <c r="A5" s="7" t="s">
        <v>6</v>
      </c>
      <c r="B5" s="8" t="n">
        <f aca="false">Conservative!AB41</f>
        <v>9590.69880677307</v>
      </c>
      <c r="C5" s="8" t="n">
        <f aca="false">Expected!AB41</f>
        <v>52870.7020138012</v>
      </c>
      <c r="D5" s="8" t="n">
        <f aca="false">Optimistic!AB41</f>
        <v>198893.800108733</v>
      </c>
    </row>
    <row r="6" customFormat="false" ht="15" hidden="false" customHeight="false" outlineLevel="0" collapsed="false">
      <c r="A6" s="7" t="s">
        <v>7</v>
      </c>
      <c r="B6" s="8" t="n">
        <f aca="false">Conservative!B41</f>
        <v>9181.69880677307</v>
      </c>
      <c r="C6" s="8" t="n">
        <f aca="false">Expected!B41</f>
        <v>52461.7020138012</v>
      </c>
      <c r="D6" s="8" t="n">
        <f aca="false">Optimistic!B41</f>
        <v>198484.800108733</v>
      </c>
    </row>
    <row r="7" customFormat="false" ht="15" hidden="false" customHeight="false" outlineLevel="0" collapsed="false">
      <c r="A7" s="7" t="s">
        <v>8</v>
      </c>
      <c r="B7" s="8" t="n">
        <f aca="false">Conservative!Z41</f>
        <v>400</v>
      </c>
      <c r="C7" s="8" t="n">
        <f aca="false">Expected!Z41</f>
        <v>400</v>
      </c>
      <c r="D7" s="8" t="n">
        <f aca="false">Optimistic!Z41</f>
        <v>400</v>
      </c>
    </row>
    <row r="8" customFormat="false" ht="15" hidden="false" customHeight="false" outlineLevel="0" collapsed="false">
      <c r="A8" s="7" t="s">
        <v>9</v>
      </c>
      <c r="B8" s="8" t="n">
        <f aca="false">Conservative!AA41</f>
        <v>9</v>
      </c>
      <c r="C8" s="8" t="n">
        <f aca="false">Expected!AA41</f>
        <v>9</v>
      </c>
      <c r="D8" s="8" t="n">
        <f aca="false">Optimistic!AA41</f>
        <v>9</v>
      </c>
    </row>
    <row r="9" customFormat="false" ht="15" hidden="false" customHeight="false" outlineLevel="0" collapsed="false">
      <c r="A9" s="7" t="s">
        <v>10</v>
      </c>
      <c r="B9" s="8" t="n">
        <f aca="false">Conservative!E41</f>
        <v>99</v>
      </c>
      <c r="C9" s="8" t="n">
        <f aca="false">Expected!E41</f>
        <v>825</v>
      </c>
      <c r="D9" s="8" t="n">
        <f aca="false">Optimistic!E41</f>
        <v>6021</v>
      </c>
    </row>
    <row r="10" customFormat="false" ht="15" hidden="false" customHeight="false" outlineLevel="0" collapsed="false">
      <c r="A10" s="7" t="s">
        <v>11</v>
      </c>
      <c r="B10" s="9" t="n">
        <f aca="false">Conservative!H41</f>
        <v>1136</v>
      </c>
      <c r="C10" s="9" t="n">
        <f aca="false">Expected!H41</f>
        <v>9467</v>
      </c>
      <c r="D10" s="9" t="n">
        <f aca="false">Optimistic!H41</f>
        <v>69091</v>
      </c>
    </row>
    <row r="11" customFormat="false" ht="15" hidden="false" customHeight="false" outlineLevel="0" collapsed="false">
      <c r="A11" s="7" t="s">
        <v>12</v>
      </c>
      <c r="B11" s="9" t="n">
        <f aca="false">Conservative!R41</f>
        <v>3357</v>
      </c>
      <c r="C11" s="9" t="n">
        <f aca="false">Expected!R41</f>
        <v>18505</v>
      </c>
      <c r="D11" s="9" t="n">
        <f aca="false">Optimistic!R41</f>
        <v>69613</v>
      </c>
    </row>
    <row r="12" customFormat="false" ht="15" hidden="false" customHeight="false" outlineLevel="0" collapsed="false">
      <c r="A12" s="7" t="s">
        <v>13</v>
      </c>
      <c r="B12" s="9" t="n">
        <f aca="false">Conservative!W41</f>
        <v>374</v>
      </c>
      <c r="C12" s="9" t="n">
        <f aca="false">Expected!W41</f>
        <v>2062</v>
      </c>
      <c r="D12" s="9" t="n">
        <f aca="false">Optimistic!W41</f>
        <v>7757</v>
      </c>
    </row>
    <row r="13" customFormat="false" ht="15" hidden="false" customHeight="false" outlineLevel="0" collapsed="false">
      <c r="A13" s="7" t="s">
        <v>14</v>
      </c>
      <c r="B13" s="9" t="n">
        <f aca="false">Conservative!AC41</f>
        <v>76</v>
      </c>
      <c r="C13" s="9" t="n">
        <f aca="false">Expected!AC41</f>
        <v>76</v>
      </c>
      <c r="D13" s="9" t="n">
        <f aca="false">Optimistic!AC41</f>
        <v>76</v>
      </c>
    </row>
    <row r="14" customFormat="false" ht="15" hidden="false" customHeight="false" outlineLevel="0" collapsed="false">
      <c r="A14" s="7" t="s">
        <v>15</v>
      </c>
      <c r="B14" s="9" t="n">
        <f aca="false">Conservative!AD41</f>
        <v>20</v>
      </c>
      <c r="C14" s="9" t="n">
        <f aca="false">Expected!AD41</f>
        <v>20</v>
      </c>
      <c r="D14" s="9" t="n">
        <f aca="false">Optimistic!AD41</f>
        <v>20</v>
      </c>
    </row>
    <row r="15" customFormat="false" ht="15" hidden="false" customHeight="false" outlineLevel="0" collapsed="false">
      <c r="A15" s="7" t="s">
        <v>16</v>
      </c>
      <c r="B15" s="9" t="n">
        <f aca="false">Conservative!S41</f>
        <v>4963</v>
      </c>
      <c r="C15" s="9" t="n">
        <f aca="false">Expected!S41</f>
        <v>30130</v>
      </c>
      <c r="D15" s="9" t="n">
        <f aca="false">Optimistic!S41</f>
        <v>146557</v>
      </c>
    </row>
    <row r="16" customFormat="false" ht="15" hidden="false" customHeight="false" outlineLevel="0" collapsed="false">
      <c r="A16" s="7" t="s">
        <v>17</v>
      </c>
      <c r="B16" s="9" t="n">
        <f aca="false">Conservative!T41</f>
        <v>1321</v>
      </c>
      <c r="C16" s="9" t="n">
        <f aca="false">Expected!T41</f>
        <v>8224</v>
      </c>
      <c r="D16" s="9" t="n">
        <f aca="false">Optimistic!T41</f>
        <v>39868</v>
      </c>
    </row>
    <row r="17" customFormat="false" ht="15" hidden="false" customHeight="false" outlineLevel="0" collapsed="false">
      <c r="A17" s="7" t="s">
        <v>18</v>
      </c>
      <c r="B17" s="9" t="n">
        <f aca="false">Conservative!U41</f>
        <v>50924</v>
      </c>
      <c r="C17" s="9" t="n">
        <f aca="false">Expected!U41</f>
        <v>254020</v>
      </c>
      <c r="D17" s="9" t="n">
        <f aca="false">Optimistic!U41</f>
        <v>1042634</v>
      </c>
    </row>
    <row r="18" customFormat="false" ht="15" hidden="false" customHeight="false" outlineLevel="0" collapsed="false">
      <c r="A18" s="7" t="s">
        <v>19</v>
      </c>
      <c r="B18" s="7" t="str">
        <f aca="false">Conservative!V41</f>
        <v>Pre-Signal 1</v>
      </c>
      <c r="C18" s="7" t="str">
        <f aca="false">Expected!V41</f>
        <v>Signal 3</v>
      </c>
      <c r="D18" s="7" t="str">
        <f aca="false">Optimistic!V41</f>
        <v>Signal 6</v>
      </c>
    </row>
    <row r="20" customFormat="false" ht="15" hidden="false" customHeight="false" outlineLevel="0" collapsed="false">
      <c r="A20" s="10" t="s">
        <v>20</v>
      </c>
      <c r="B20" s="10"/>
      <c r="C20" s="10"/>
      <c r="D20" s="10"/>
    </row>
    <row r="21" customFormat="false" ht="15" hidden="false" customHeight="false" outlineLevel="0" collapsed="false">
      <c r="A21" s="7" t="s">
        <v>21</v>
      </c>
      <c r="B21" s="11" t="n">
        <f aca="false">Conservative!I43</f>
        <v>13742</v>
      </c>
      <c r="C21" s="11" t="n">
        <f aca="false">Expected!I43</f>
        <v>84687</v>
      </c>
      <c r="D21" s="11" t="n">
        <f aca="false">Optimistic!I43</f>
        <v>517537</v>
      </c>
    </row>
    <row r="22" customFormat="false" ht="15" hidden="false" customHeight="false" outlineLevel="0" collapsed="false">
      <c r="A22" s="7" t="s">
        <v>22</v>
      </c>
      <c r="B22" s="11" t="n">
        <f aca="false">Conservative!R43</f>
        <v>42154</v>
      </c>
      <c r="C22" s="11" t="n">
        <f aca="false">Expected!R43</f>
        <v>169031</v>
      </c>
      <c r="D22" s="11" t="n">
        <f aca="false">Optimistic!R43</f>
        <v>528369</v>
      </c>
    </row>
    <row r="23" customFormat="false" ht="15" hidden="false" customHeight="false" outlineLevel="0" collapsed="false">
      <c r="A23" s="7" t="s">
        <v>23</v>
      </c>
      <c r="B23" s="11" t="n">
        <f aca="false">Conservative!W43</f>
        <v>4823</v>
      </c>
      <c r="C23" s="11" t="n">
        <f aca="false">Expected!W43</f>
        <v>19052</v>
      </c>
      <c r="D23" s="11" t="n">
        <f aca="false">Optimistic!W43</f>
        <v>59224</v>
      </c>
    </row>
    <row r="24" customFormat="false" ht="15" hidden="false" customHeight="false" outlineLevel="0" collapsed="false">
      <c r="A24" s="7" t="s">
        <v>24</v>
      </c>
      <c r="B24" s="11" t="n">
        <f aca="false">Conservative!AC43</f>
        <v>1363</v>
      </c>
      <c r="C24" s="11" t="n">
        <f aca="false">Expected!AC43</f>
        <v>1363</v>
      </c>
      <c r="D24" s="11" t="n">
        <f aca="false">Optimistic!AC43</f>
        <v>1363</v>
      </c>
    </row>
    <row r="25" customFormat="false" ht="15" hidden="false" customHeight="false" outlineLevel="0" collapsed="false">
      <c r="A25" s="7" t="s">
        <v>25</v>
      </c>
      <c r="B25" s="11" t="n">
        <f aca="false">Conservative!AD43</f>
        <v>155</v>
      </c>
      <c r="C25" s="11" t="n">
        <f aca="false">Expected!AD43</f>
        <v>155</v>
      </c>
      <c r="D25" s="11" t="n">
        <f aca="false">Optimistic!AD43</f>
        <v>155</v>
      </c>
    </row>
    <row r="26" customFormat="false" ht="15" hidden="false" customHeight="false" outlineLevel="0" collapsed="false">
      <c r="A26" s="7" t="s">
        <v>26</v>
      </c>
      <c r="B26" s="11" t="n">
        <f aca="false">Conservative!S43</f>
        <v>62237</v>
      </c>
      <c r="C26" s="11" t="n">
        <f aca="false">Expected!S43</f>
        <v>274288</v>
      </c>
      <c r="D26" s="11" t="n">
        <f aca="false">Optimistic!S43</f>
        <v>1106648</v>
      </c>
    </row>
    <row r="28" customFormat="false" ht="15" hidden="false" customHeight="false" outlineLevel="0" collapsed="false">
      <c r="A28" s="3" t="s">
        <v>27</v>
      </c>
    </row>
    <row r="29" customFormat="false" ht="15" hidden="false" customHeight="false" outlineLevel="0" collapsed="false">
      <c r="A29" s="7"/>
      <c r="B29" s="7" t="s">
        <v>3</v>
      </c>
      <c r="C29" s="7" t="s">
        <v>4</v>
      </c>
      <c r="D29" s="7" t="s">
        <v>5</v>
      </c>
    </row>
    <row r="30" customFormat="false" ht="15" hidden="false" customHeight="false" outlineLevel="0" collapsed="false">
      <c r="A30" s="7" t="s">
        <v>28</v>
      </c>
      <c r="B30" s="12" t="n">
        <f aca="false">Assumptions!B22</f>
        <v>0.0015</v>
      </c>
      <c r="C30" s="12" t="n">
        <f aca="false">Assumptions!B23</f>
        <v>0.0025</v>
      </c>
      <c r="D30" s="12" t="n">
        <f aca="false">Assumptions!B24</f>
        <v>0.005</v>
      </c>
    </row>
    <row r="31" customFormat="false" ht="15" hidden="false" customHeight="false" outlineLevel="0" collapsed="false">
      <c r="A31" s="7" t="s">
        <v>29</v>
      </c>
      <c r="B31" s="12" t="n">
        <f aca="false">Assumptions!B33</f>
        <v>0.08</v>
      </c>
      <c r="C31" s="12" t="n">
        <f aca="false">Assumptions!B34</f>
        <v>0.12</v>
      </c>
      <c r="D31" s="12" t="n">
        <f aca="false">Assumptions!B35</f>
        <v>0.15</v>
      </c>
    </row>
    <row r="32" customFormat="false" ht="15" hidden="false" customHeight="false" outlineLevel="0" collapsed="false">
      <c r="A32" s="7" t="s">
        <v>30</v>
      </c>
      <c r="B32" s="12" t="n">
        <f aca="false">Assumptions!B43</f>
        <v>0.08</v>
      </c>
      <c r="C32" s="12" t="n">
        <f aca="false">Assumptions!B44</f>
        <v>0.06</v>
      </c>
      <c r="D32" s="12" t="n">
        <f aca="false">Assumptions!B45</f>
        <v>0.04</v>
      </c>
    </row>
    <row r="33" customFormat="false" ht="15" hidden="false" customHeight="false" outlineLevel="0" collapsed="false">
      <c r="A33" s="7" t="s">
        <v>31</v>
      </c>
      <c r="B33" s="9" t="n">
        <f aca="false">Assumptions!B136</f>
        <v>13</v>
      </c>
      <c r="C33" s="9" t="n">
        <f aca="false">Assumptions!B136</f>
        <v>13</v>
      </c>
      <c r="D33" s="9" t="n">
        <f aca="false">Assumptions!B136</f>
        <v>13</v>
      </c>
    </row>
    <row r="34" customFormat="false" ht="15" hidden="false" customHeight="false" outlineLevel="0" collapsed="false">
      <c r="A34" s="7" t="s">
        <v>32</v>
      </c>
      <c r="B34" s="12" t="n">
        <f aca="false">Assumptions!B137</f>
        <v>0.08</v>
      </c>
      <c r="C34" s="12" t="n">
        <f aca="false">Assumptions!B137</f>
        <v>0.08</v>
      </c>
      <c r="D34" s="12" t="n">
        <f aca="false">Assumptions!B137</f>
        <v>0.08</v>
      </c>
    </row>
    <row r="35" customFormat="false" ht="15" hidden="false" customHeight="false" outlineLevel="0" collapsed="false">
      <c r="A35" s="7" t="s">
        <v>33</v>
      </c>
      <c r="B35" s="9" t="n">
        <f aca="false">Assumptions!B146</f>
        <v>8</v>
      </c>
      <c r="C35" s="9" t="n">
        <f aca="false">Assumptions!B146</f>
        <v>8</v>
      </c>
      <c r="D35" s="9" t="n">
        <f aca="false">Assumptions!B146</f>
        <v>8</v>
      </c>
    </row>
    <row r="36" customFormat="false" ht="15" hidden="false" customHeight="false" outlineLevel="0" collapsed="false">
      <c r="A36" s="7" t="s">
        <v>34</v>
      </c>
      <c r="B36" s="12" t="n">
        <f aca="false">Assumptions!B166</f>
        <v>0.003</v>
      </c>
      <c r="C36" s="12" t="n">
        <f aca="false">Assumptions!B166</f>
        <v>0.003</v>
      </c>
      <c r="D36" s="12" t="n">
        <f aca="false">Assumptions!B166</f>
        <v>0.003</v>
      </c>
    </row>
  </sheetData>
  <mergeCells count="3">
    <mergeCell ref="A1:D1"/>
    <mergeCell ref="A2:D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3" t="s">
        <v>35</v>
      </c>
      <c r="B1" s="13"/>
      <c r="C1" s="13"/>
    </row>
    <row r="2" customFormat="false" ht="15" hidden="false" customHeight="false" outlineLevel="0" collapsed="false">
      <c r="A2" s="14" t="s">
        <v>36</v>
      </c>
    </row>
    <row r="3" customFormat="false" ht="15" hidden="false" customHeight="false" outlineLevel="0" collapsed="false">
      <c r="A3" s="14" t="s">
        <v>37</v>
      </c>
    </row>
    <row r="5" customFormat="false" ht="15" hidden="false" customHeight="false" outlineLevel="0" collapsed="false">
      <c r="A5" s="10" t="s">
        <v>38</v>
      </c>
      <c r="B5" s="10"/>
      <c r="C5" s="10"/>
    </row>
    <row r="6" customFormat="false" ht="15" hidden="false" customHeight="false" outlineLevel="0" collapsed="false">
      <c r="A6" s="7" t="s">
        <v>39</v>
      </c>
      <c r="B6" s="15" t="n">
        <v>1</v>
      </c>
      <c r="C6" s="16" t="s">
        <v>40</v>
      </c>
    </row>
    <row r="7" customFormat="false" ht="15" hidden="false" customHeight="false" outlineLevel="0" collapsed="false">
      <c r="A7" s="7" t="s">
        <v>41</v>
      </c>
      <c r="B7" s="15" t="n">
        <v>36</v>
      </c>
      <c r="C7" s="16" t="s">
        <v>42</v>
      </c>
    </row>
    <row r="9" customFormat="false" ht="15" hidden="false" customHeight="false" outlineLevel="0" collapsed="false">
      <c r="A9" s="10" t="s">
        <v>43</v>
      </c>
      <c r="B9" s="10"/>
      <c r="C9" s="10"/>
    </row>
    <row r="10" customFormat="false" ht="15" hidden="false" customHeight="false" outlineLevel="0" collapsed="false">
      <c r="A10" s="7" t="s">
        <v>44</v>
      </c>
      <c r="B10" s="17" t="n">
        <v>34</v>
      </c>
      <c r="C10" s="16" t="s">
        <v>45</v>
      </c>
    </row>
    <row r="11" customFormat="false" ht="15" hidden="false" customHeight="false" outlineLevel="0" collapsed="false">
      <c r="A11" s="7" t="s">
        <v>46</v>
      </c>
      <c r="B11" s="9" t="n">
        <f aca="false">B10/12</f>
        <v>2.83333333333333</v>
      </c>
      <c r="C11" s="16" t="s">
        <v>47</v>
      </c>
    </row>
    <row r="12" customFormat="false" ht="15" hidden="false" customHeight="false" outlineLevel="0" collapsed="false">
      <c r="A12" s="7" t="s">
        <v>48</v>
      </c>
      <c r="B12" s="17" t="n">
        <v>55</v>
      </c>
      <c r="C12" s="16" t="s">
        <v>49</v>
      </c>
    </row>
    <row r="13" customFormat="false" ht="15" hidden="false" customHeight="false" outlineLevel="0" collapsed="false">
      <c r="A13" s="7" t="s">
        <v>50</v>
      </c>
      <c r="B13" s="15" t="n">
        <v>250</v>
      </c>
      <c r="C13" s="16" t="s">
        <v>51</v>
      </c>
    </row>
    <row r="14" customFormat="false" ht="15" hidden="false" customHeight="false" outlineLevel="0" collapsed="false">
      <c r="A14" s="7" t="s">
        <v>52</v>
      </c>
      <c r="B14" s="17" t="n">
        <v>8</v>
      </c>
      <c r="C14" s="16" t="s">
        <v>53</v>
      </c>
    </row>
    <row r="15" customFormat="false" ht="15" hidden="false" customHeight="false" outlineLevel="0" collapsed="false">
      <c r="A15" s="7" t="s">
        <v>54</v>
      </c>
      <c r="B15" s="17" t="n">
        <v>13</v>
      </c>
      <c r="C15" s="16" t="s">
        <v>55</v>
      </c>
    </row>
    <row r="16" customFormat="false" ht="15" hidden="false" customHeight="false" outlineLevel="0" collapsed="false">
      <c r="A16" s="7" t="s">
        <v>56</v>
      </c>
      <c r="B16" s="17" t="n">
        <v>21</v>
      </c>
      <c r="C16" s="16" t="s">
        <v>57</v>
      </c>
    </row>
    <row r="17" customFormat="false" ht="15" hidden="false" customHeight="false" outlineLevel="0" collapsed="false">
      <c r="A17" s="7" t="s">
        <v>58</v>
      </c>
      <c r="B17" s="9" t="n">
        <f aca="false">B16/3</f>
        <v>7</v>
      </c>
      <c r="C17" s="16" t="s">
        <v>59</v>
      </c>
    </row>
    <row r="18" customFormat="false" ht="15" hidden="false" customHeight="false" outlineLevel="0" collapsed="false">
      <c r="A18" s="7" t="s">
        <v>60</v>
      </c>
      <c r="B18" s="17" t="n">
        <v>55</v>
      </c>
      <c r="C18" s="16" t="s">
        <v>61</v>
      </c>
    </row>
    <row r="19" customFormat="false" ht="15" hidden="false" customHeight="false" outlineLevel="0" collapsed="false">
      <c r="A19" s="7" t="s">
        <v>62</v>
      </c>
      <c r="B19" s="17" t="n">
        <v>21</v>
      </c>
      <c r="C19" s="16" t="s">
        <v>63</v>
      </c>
    </row>
    <row r="21" customFormat="false" ht="15" hidden="false" customHeight="false" outlineLevel="0" collapsed="false">
      <c r="A21" s="10" t="s">
        <v>64</v>
      </c>
      <c r="B21" s="10"/>
      <c r="C21" s="10"/>
    </row>
    <row r="22" customFormat="false" ht="15" hidden="false" customHeight="false" outlineLevel="0" collapsed="false">
      <c r="A22" s="7" t="s">
        <v>65</v>
      </c>
      <c r="B22" s="18" t="n">
        <v>0.0015</v>
      </c>
      <c r="C22" s="16" t="s">
        <v>66</v>
      </c>
    </row>
    <row r="23" customFormat="false" ht="15" hidden="false" customHeight="false" outlineLevel="0" collapsed="false">
      <c r="A23" s="7" t="s">
        <v>67</v>
      </c>
      <c r="B23" s="18" t="n">
        <v>0.0025</v>
      </c>
      <c r="C23" s="16" t="s">
        <v>68</v>
      </c>
    </row>
    <row r="24" customFormat="false" ht="15" hidden="false" customHeight="false" outlineLevel="0" collapsed="false">
      <c r="A24" s="7" t="s">
        <v>69</v>
      </c>
      <c r="B24" s="18" t="n">
        <v>0.005</v>
      </c>
      <c r="C24" s="16" t="s">
        <v>70</v>
      </c>
    </row>
    <row r="25" customFormat="false" ht="15" hidden="false" customHeight="false" outlineLevel="0" collapsed="false">
      <c r="A25" s="7" t="s">
        <v>71</v>
      </c>
      <c r="B25" s="19" t="n">
        <v>0.02</v>
      </c>
      <c r="C25" s="16" t="s">
        <v>72</v>
      </c>
    </row>
    <row r="26" customFormat="false" ht="15" hidden="false" customHeight="false" outlineLevel="0" collapsed="false">
      <c r="A26" s="7" t="s">
        <v>73</v>
      </c>
      <c r="B26" s="15" t="n">
        <v>1.15</v>
      </c>
      <c r="C26" s="16" t="s">
        <v>74</v>
      </c>
    </row>
    <row r="27" customFormat="false" ht="15" hidden="false" customHeight="false" outlineLevel="0" collapsed="false">
      <c r="A27" s="7" t="s">
        <v>75</v>
      </c>
      <c r="B27" s="19" t="n">
        <v>0.4</v>
      </c>
      <c r="C27" s="16" t="s">
        <v>76</v>
      </c>
    </row>
    <row r="29" customFormat="false" ht="15" hidden="false" customHeight="false" outlineLevel="0" collapsed="false">
      <c r="A29" s="10" t="s">
        <v>77</v>
      </c>
      <c r="B29" s="10"/>
      <c r="C29" s="10"/>
    </row>
    <row r="30" customFormat="false" ht="15" hidden="false" customHeight="false" outlineLevel="0" collapsed="false">
      <c r="A30" s="7" t="s">
        <v>78</v>
      </c>
      <c r="B30" s="20" t="n">
        <v>500</v>
      </c>
      <c r="C30" s="16" t="s">
        <v>79</v>
      </c>
    </row>
    <row r="31" customFormat="false" ht="15" hidden="false" customHeight="false" outlineLevel="0" collapsed="false">
      <c r="A31" s="7" t="s">
        <v>80</v>
      </c>
      <c r="B31" s="20" t="n">
        <v>800</v>
      </c>
      <c r="C31" s="16" t="s">
        <v>81</v>
      </c>
    </row>
    <row r="32" customFormat="false" ht="15" hidden="false" customHeight="false" outlineLevel="0" collapsed="false">
      <c r="A32" s="7" t="s">
        <v>82</v>
      </c>
      <c r="B32" s="20" t="n">
        <v>1200</v>
      </c>
      <c r="C32" s="16" t="s">
        <v>83</v>
      </c>
    </row>
    <row r="33" customFormat="false" ht="15" hidden="false" customHeight="false" outlineLevel="0" collapsed="false">
      <c r="A33" s="7" t="s">
        <v>84</v>
      </c>
      <c r="B33" s="18" t="n">
        <v>0.08</v>
      </c>
      <c r="C33" s="16" t="s">
        <v>85</v>
      </c>
    </row>
    <row r="34" customFormat="false" ht="15" hidden="false" customHeight="false" outlineLevel="0" collapsed="false">
      <c r="A34" s="7" t="s">
        <v>86</v>
      </c>
      <c r="B34" s="18" t="n">
        <v>0.12</v>
      </c>
      <c r="C34" s="16" t="s">
        <v>87</v>
      </c>
    </row>
    <row r="35" customFormat="false" ht="15" hidden="false" customHeight="false" outlineLevel="0" collapsed="false">
      <c r="A35" s="7" t="s">
        <v>88</v>
      </c>
      <c r="B35" s="18" t="n">
        <v>0.15</v>
      </c>
      <c r="C35" s="16" t="s">
        <v>89</v>
      </c>
    </row>
    <row r="36" customFormat="false" ht="15" hidden="false" customHeight="false" outlineLevel="0" collapsed="false">
      <c r="A36" s="7" t="s">
        <v>90</v>
      </c>
      <c r="B36" s="15" t="n">
        <v>1.15</v>
      </c>
      <c r="C36" s="16" t="s">
        <v>91</v>
      </c>
    </row>
    <row r="37" customFormat="false" ht="15" hidden="false" customHeight="false" outlineLevel="0" collapsed="false">
      <c r="A37" s="7" t="s">
        <v>92</v>
      </c>
      <c r="B37" s="15" t="n">
        <v>1.08</v>
      </c>
      <c r="C37" s="16" t="s">
        <v>93</v>
      </c>
    </row>
    <row r="38" customFormat="false" ht="15" hidden="false" customHeight="false" outlineLevel="0" collapsed="false">
      <c r="A38" s="7" t="s">
        <v>94</v>
      </c>
      <c r="B38" s="15" t="n">
        <v>2</v>
      </c>
      <c r="C38" s="16" t="s">
        <v>95</v>
      </c>
    </row>
    <row r="39" customFormat="false" ht="15" hidden="false" customHeight="false" outlineLevel="0" collapsed="false">
      <c r="A39" s="7" t="s">
        <v>96</v>
      </c>
      <c r="B39" s="15" t="n">
        <v>200</v>
      </c>
      <c r="C39" s="16" t="s">
        <v>97</v>
      </c>
    </row>
    <row r="40" customFormat="false" ht="15" hidden="false" customHeight="false" outlineLevel="0" collapsed="false">
      <c r="A40" s="7" t="s">
        <v>98</v>
      </c>
      <c r="B40" s="15" t="n">
        <v>60</v>
      </c>
      <c r="C40" s="16" t="s">
        <v>99</v>
      </c>
    </row>
    <row r="42" customFormat="false" ht="15" hidden="false" customHeight="false" outlineLevel="0" collapsed="false">
      <c r="A42" s="10" t="s">
        <v>100</v>
      </c>
      <c r="B42" s="10"/>
      <c r="C42" s="10"/>
    </row>
    <row r="43" customFormat="false" ht="15" hidden="false" customHeight="false" outlineLevel="0" collapsed="false">
      <c r="A43" s="7" t="s">
        <v>101</v>
      </c>
      <c r="B43" s="19" t="n">
        <v>0.08</v>
      </c>
      <c r="C43" s="16" t="s">
        <v>102</v>
      </c>
    </row>
    <row r="44" customFormat="false" ht="15" hidden="false" customHeight="false" outlineLevel="0" collapsed="false">
      <c r="A44" s="7" t="s">
        <v>103</v>
      </c>
      <c r="B44" s="19" t="n">
        <v>0.06</v>
      </c>
      <c r="C44" s="16" t="s">
        <v>104</v>
      </c>
    </row>
    <row r="45" customFormat="false" ht="15" hidden="false" customHeight="false" outlineLevel="0" collapsed="false">
      <c r="A45" s="7" t="s">
        <v>105</v>
      </c>
      <c r="B45" s="19" t="n">
        <v>0.04</v>
      </c>
      <c r="C45" s="16" t="s">
        <v>106</v>
      </c>
    </row>
    <row r="46" customFormat="false" ht="15" hidden="false" customHeight="false" outlineLevel="0" collapsed="false">
      <c r="A46" s="7" t="s">
        <v>107</v>
      </c>
      <c r="B46" s="19" t="n">
        <v>0.02</v>
      </c>
      <c r="C46" s="16" t="s">
        <v>108</v>
      </c>
    </row>
    <row r="47" customFormat="false" ht="15" hidden="false" customHeight="false" outlineLevel="0" collapsed="false">
      <c r="A47" s="7" t="s">
        <v>109</v>
      </c>
      <c r="B47" s="19" t="n">
        <v>0.04</v>
      </c>
      <c r="C47" s="16" t="s">
        <v>110</v>
      </c>
    </row>
    <row r="49" customFormat="false" ht="15" hidden="false" customHeight="false" outlineLevel="0" collapsed="false">
      <c r="A49" s="10" t="s">
        <v>111</v>
      </c>
      <c r="B49" s="10"/>
      <c r="C49" s="10"/>
    </row>
    <row r="50" customFormat="false" ht="15" hidden="false" customHeight="false" outlineLevel="0" collapsed="false">
      <c r="A50" s="7" t="s">
        <v>112</v>
      </c>
      <c r="B50" s="15" t="n">
        <v>6</v>
      </c>
      <c r="C50" s="16" t="s">
        <v>113</v>
      </c>
    </row>
    <row r="51" customFormat="false" ht="15" hidden="false" customHeight="false" outlineLevel="0" collapsed="false">
      <c r="A51" s="7" t="s">
        <v>114</v>
      </c>
      <c r="B51" s="19" t="n">
        <v>0.001</v>
      </c>
      <c r="C51" s="16" t="s">
        <v>115</v>
      </c>
    </row>
    <row r="52" customFormat="false" ht="15" hidden="false" customHeight="false" outlineLevel="0" collapsed="false">
      <c r="A52" s="7" t="s">
        <v>116</v>
      </c>
      <c r="B52" s="17" t="n">
        <v>350</v>
      </c>
      <c r="C52" s="16" t="s">
        <v>117</v>
      </c>
    </row>
    <row r="64" customFormat="false" ht="15" hidden="false" customHeight="false" outlineLevel="0" collapsed="false">
      <c r="A64" s="10" t="s">
        <v>118</v>
      </c>
      <c r="B64" s="10"/>
      <c r="C64" s="10"/>
    </row>
    <row r="65" customFormat="false" ht="15" hidden="false" customHeight="false" outlineLevel="0" collapsed="false">
      <c r="A65" s="7" t="s">
        <v>119</v>
      </c>
      <c r="B65" s="17" t="n">
        <v>0.08</v>
      </c>
      <c r="C65" s="16" t="s">
        <v>120</v>
      </c>
    </row>
    <row r="66" customFormat="false" ht="15" hidden="false" customHeight="false" outlineLevel="0" collapsed="false">
      <c r="A66" s="7" t="s">
        <v>121</v>
      </c>
      <c r="B66" s="17" t="n">
        <v>0.01</v>
      </c>
      <c r="C66" s="16" t="s">
        <v>122</v>
      </c>
    </row>
    <row r="67" customFormat="false" ht="15" hidden="false" customHeight="false" outlineLevel="0" collapsed="false">
      <c r="A67" s="7" t="s">
        <v>123</v>
      </c>
      <c r="B67" s="17" t="n">
        <v>0.05</v>
      </c>
      <c r="C67" s="16" t="s">
        <v>124</v>
      </c>
    </row>
    <row r="68" customFormat="false" ht="15" hidden="false" customHeight="false" outlineLevel="0" collapsed="false">
      <c r="A68" s="7" t="s">
        <v>125</v>
      </c>
      <c r="B68" s="15" t="n">
        <v>3.5</v>
      </c>
      <c r="C68" s="16" t="s">
        <v>126</v>
      </c>
    </row>
    <row r="69" customFormat="false" ht="15" hidden="false" customHeight="false" outlineLevel="0" collapsed="false">
      <c r="A69" s="7" t="s">
        <v>127</v>
      </c>
      <c r="B69" s="15" t="n">
        <v>5</v>
      </c>
      <c r="C69" s="16" t="s">
        <v>128</v>
      </c>
    </row>
    <row r="70" customFormat="false" ht="15" hidden="false" customHeight="false" outlineLevel="0" collapsed="false">
      <c r="A70" s="7" t="s">
        <v>129</v>
      </c>
      <c r="B70" s="17" t="n">
        <v>31</v>
      </c>
      <c r="C70" s="16" t="s">
        <v>130</v>
      </c>
    </row>
    <row r="71" customFormat="false" ht="15" hidden="false" customHeight="false" outlineLevel="0" collapsed="false">
      <c r="A71" s="7" t="s">
        <v>131</v>
      </c>
      <c r="B71" s="17" t="n">
        <v>200</v>
      </c>
      <c r="C71" s="16" t="s">
        <v>132</v>
      </c>
    </row>
    <row r="72" customFormat="false" ht="15" hidden="false" customHeight="false" outlineLevel="0" collapsed="false">
      <c r="A72" s="7" t="s">
        <v>133</v>
      </c>
      <c r="B72" s="15" t="n">
        <v>500</v>
      </c>
      <c r="C72" s="16" t="s">
        <v>134</v>
      </c>
    </row>
    <row r="74" customFormat="false" ht="15" hidden="false" customHeight="false" outlineLevel="0" collapsed="false">
      <c r="A74" s="10" t="s">
        <v>135</v>
      </c>
      <c r="B74" s="10"/>
      <c r="C74" s="10"/>
    </row>
    <row r="75" customFormat="false" ht="15" hidden="false" customHeight="false" outlineLevel="0" collapsed="false">
      <c r="A75" s="7" t="s">
        <v>136</v>
      </c>
      <c r="B75" s="17" t="n">
        <v>0</v>
      </c>
      <c r="C75" s="16" t="s">
        <v>137</v>
      </c>
    </row>
    <row r="76" customFormat="false" ht="15" hidden="false" customHeight="false" outlineLevel="0" collapsed="false">
      <c r="A76" s="7" t="s">
        <v>138</v>
      </c>
      <c r="B76" s="17" t="n">
        <v>29</v>
      </c>
      <c r="C76" s="16" t="s">
        <v>139</v>
      </c>
    </row>
    <row r="77" customFormat="false" ht="15" hidden="false" customHeight="false" outlineLevel="0" collapsed="false">
      <c r="A77" s="7" t="s">
        <v>140</v>
      </c>
      <c r="B77" s="17" t="n">
        <v>6</v>
      </c>
      <c r="C77" s="16" t="s">
        <v>141</v>
      </c>
    </row>
    <row r="78" customFormat="false" ht="15" hidden="false" customHeight="false" outlineLevel="0" collapsed="false">
      <c r="A78" s="7" t="s">
        <v>142</v>
      </c>
      <c r="B78" s="17" t="n">
        <v>0</v>
      </c>
      <c r="C78" s="16" t="s">
        <v>143</v>
      </c>
    </row>
    <row r="80" customFormat="false" ht="15" hidden="false" customHeight="false" outlineLevel="0" collapsed="false">
      <c r="A80" s="10" t="s">
        <v>144</v>
      </c>
      <c r="B80" s="10"/>
      <c r="C80" s="10"/>
    </row>
    <row r="81" customFormat="false" ht="15" hidden="false" customHeight="false" outlineLevel="0" collapsed="false">
      <c r="A81" s="7" t="s">
        <v>145</v>
      </c>
      <c r="B81" s="17" t="n">
        <v>20</v>
      </c>
      <c r="C81" s="16" t="s">
        <v>146</v>
      </c>
    </row>
    <row r="82" customFormat="false" ht="15" hidden="false" customHeight="false" outlineLevel="0" collapsed="false">
      <c r="A82" s="7" t="s">
        <v>147</v>
      </c>
      <c r="B82" s="17" t="n">
        <v>20</v>
      </c>
      <c r="C82" s="16" t="s">
        <v>148</v>
      </c>
    </row>
    <row r="83" customFormat="false" ht="15" hidden="false" customHeight="false" outlineLevel="0" collapsed="false">
      <c r="A83" s="7" t="s">
        <v>149</v>
      </c>
      <c r="B83" s="17" t="n">
        <v>0</v>
      </c>
      <c r="C83" s="16" t="s">
        <v>150</v>
      </c>
    </row>
    <row r="84" customFormat="false" ht="15" hidden="false" customHeight="false" outlineLevel="0" collapsed="false">
      <c r="A84" s="7" t="s">
        <v>151</v>
      </c>
      <c r="B84" s="17" t="n">
        <v>42</v>
      </c>
      <c r="C84" s="16" t="s">
        <v>152</v>
      </c>
    </row>
    <row r="85" customFormat="false" ht="15" hidden="false" customHeight="false" outlineLevel="0" collapsed="false">
      <c r="A85" s="7" t="s">
        <v>153</v>
      </c>
      <c r="B85" s="19" t="n">
        <v>0.029</v>
      </c>
      <c r="C85" s="16" t="s">
        <v>154</v>
      </c>
    </row>
    <row r="86" customFormat="false" ht="15" hidden="false" customHeight="false" outlineLevel="0" collapsed="false">
      <c r="A86" s="7" t="s">
        <v>155</v>
      </c>
      <c r="B86" s="17" t="n">
        <v>0.3</v>
      </c>
      <c r="C86" s="16" t="s">
        <v>156</v>
      </c>
    </row>
    <row r="87" customFormat="false" ht="15" hidden="false" customHeight="false" outlineLevel="0" collapsed="false">
      <c r="A87" s="7" t="s">
        <v>157</v>
      </c>
      <c r="B87" s="17" t="n">
        <v>120</v>
      </c>
      <c r="C87" s="16" t="s">
        <v>158</v>
      </c>
    </row>
    <row r="93" customFormat="false" ht="15" hidden="false" customHeight="false" outlineLevel="0" collapsed="false">
      <c r="A93" s="10" t="s">
        <v>159</v>
      </c>
      <c r="B93" s="10"/>
      <c r="C93" s="10"/>
    </row>
    <row r="94" customFormat="false" ht="15" hidden="false" customHeight="false" outlineLevel="0" collapsed="false">
      <c r="A94" s="7" t="s">
        <v>160</v>
      </c>
      <c r="B94" s="17" t="n">
        <v>2250</v>
      </c>
      <c r="C94" s="16" t="s">
        <v>161</v>
      </c>
    </row>
    <row r="95" customFormat="false" ht="15" hidden="false" customHeight="false" outlineLevel="0" collapsed="false">
      <c r="A95" s="7" t="s">
        <v>162</v>
      </c>
      <c r="B95" s="17" t="n">
        <v>500</v>
      </c>
      <c r="C95" s="16" t="s">
        <v>163</v>
      </c>
    </row>
    <row r="96" customFormat="false" ht="15" hidden="false" customHeight="false" outlineLevel="0" collapsed="false">
      <c r="A96" s="7" t="s">
        <v>164</v>
      </c>
      <c r="B96" s="17" t="n">
        <v>500</v>
      </c>
      <c r="C96" s="16" t="s">
        <v>165</v>
      </c>
    </row>
    <row r="97" customFormat="false" ht="15" hidden="false" customHeight="false" outlineLevel="0" collapsed="false">
      <c r="A97" s="7" t="s">
        <v>166</v>
      </c>
      <c r="B97" s="9" t="n">
        <f aca="false">B94+B95+B96</f>
        <v>3250</v>
      </c>
      <c r="C97" s="16" t="s">
        <v>167</v>
      </c>
    </row>
    <row r="101" customFormat="false" ht="15" hidden="false" customHeight="false" outlineLevel="0" collapsed="false">
      <c r="A101" s="10" t="s">
        <v>168</v>
      </c>
      <c r="B101" s="10"/>
      <c r="C101" s="10"/>
    </row>
    <row r="102" customFormat="false" ht="15" hidden="false" customHeight="false" outlineLevel="0" collapsed="false">
      <c r="A102" s="7" t="s">
        <v>169</v>
      </c>
      <c r="B102" s="15" t="n">
        <v>10000</v>
      </c>
      <c r="C102" s="16" t="s">
        <v>170</v>
      </c>
    </row>
    <row r="103" customFormat="false" ht="15" hidden="false" customHeight="false" outlineLevel="0" collapsed="false">
      <c r="A103" s="7" t="s">
        <v>171</v>
      </c>
      <c r="B103" s="15" t="n">
        <v>25000</v>
      </c>
      <c r="C103" s="16" t="s">
        <v>172</v>
      </c>
    </row>
    <row r="104" customFormat="false" ht="15" hidden="false" customHeight="false" outlineLevel="0" collapsed="false">
      <c r="A104" s="7" t="s">
        <v>173</v>
      </c>
      <c r="B104" s="15" t="n">
        <v>40000</v>
      </c>
      <c r="C104" s="16" t="s">
        <v>174</v>
      </c>
    </row>
    <row r="105" customFormat="false" ht="15" hidden="false" customHeight="false" outlineLevel="0" collapsed="false">
      <c r="A105" s="7" t="s">
        <v>175</v>
      </c>
      <c r="B105" s="15" t="n">
        <v>65000</v>
      </c>
      <c r="C105" s="16" t="s">
        <v>176</v>
      </c>
    </row>
    <row r="106" customFormat="false" ht="15" hidden="false" customHeight="false" outlineLevel="0" collapsed="false">
      <c r="A106" s="7" t="s">
        <v>177</v>
      </c>
      <c r="B106" s="15" t="n">
        <v>110000</v>
      </c>
      <c r="C106" s="16" t="s">
        <v>178</v>
      </c>
    </row>
    <row r="107" customFormat="false" ht="15" hidden="false" customHeight="false" outlineLevel="0" collapsed="false">
      <c r="A107" s="7" t="s">
        <v>179</v>
      </c>
      <c r="B107" s="15" t="n">
        <v>175000</v>
      </c>
      <c r="C107" s="16" t="s">
        <v>180</v>
      </c>
    </row>
    <row r="108" customFormat="false" ht="15" hidden="false" customHeight="false" outlineLevel="0" collapsed="false">
      <c r="A108" s="7" t="s">
        <v>181</v>
      </c>
      <c r="B108" s="17" t="n">
        <v>5000</v>
      </c>
      <c r="C108" s="16" t="s">
        <v>182</v>
      </c>
    </row>
    <row r="109" customFormat="false" ht="15" hidden="false" customHeight="false" outlineLevel="0" collapsed="false">
      <c r="A109" s="7" t="s">
        <v>183</v>
      </c>
      <c r="B109" s="17" t="n">
        <v>15000</v>
      </c>
      <c r="C109" s="16" t="s">
        <v>184</v>
      </c>
    </row>
    <row r="111" customFormat="false" ht="15" hidden="false" customHeight="false" outlineLevel="0" collapsed="false">
      <c r="A111" s="10" t="s">
        <v>185</v>
      </c>
      <c r="B111" s="10"/>
      <c r="C111" s="10"/>
    </row>
    <row r="112" customFormat="false" ht="15" hidden="false" customHeight="false" outlineLevel="0" collapsed="false">
      <c r="A112" s="7" t="s">
        <v>186</v>
      </c>
      <c r="B112" s="19" t="n">
        <v>0</v>
      </c>
      <c r="C112" s="16" t="s">
        <v>187</v>
      </c>
    </row>
    <row r="113" customFormat="false" ht="15" hidden="false" customHeight="false" outlineLevel="0" collapsed="false">
      <c r="A113" s="7" t="s">
        <v>188</v>
      </c>
      <c r="B113" s="19" t="n">
        <v>0.236</v>
      </c>
      <c r="C113" s="16" t="s">
        <v>189</v>
      </c>
    </row>
    <row r="114" customFormat="false" ht="15" hidden="false" customHeight="false" outlineLevel="0" collapsed="false">
      <c r="A114" s="7" t="s">
        <v>190</v>
      </c>
      <c r="B114" s="19" t="n">
        <v>0.382</v>
      </c>
      <c r="C114" s="16" t="s">
        <v>191</v>
      </c>
    </row>
    <row r="115" customFormat="false" ht="15" hidden="false" customHeight="false" outlineLevel="0" collapsed="false">
      <c r="A115" s="7" t="s">
        <v>192</v>
      </c>
      <c r="B115" s="19" t="n">
        <v>0.618</v>
      </c>
      <c r="C115" s="16" t="s">
        <v>193</v>
      </c>
    </row>
    <row r="116" customFormat="false" ht="15" hidden="false" customHeight="false" outlineLevel="0" collapsed="false">
      <c r="A116" s="7" t="s">
        <v>194</v>
      </c>
      <c r="B116" s="19" t="n">
        <v>0.2</v>
      </c>
      <c r="C116" s="16" t="s">
        <v>195</v>
      </c>
    </row>
    <row r="117" customFormat="false" ht="15" hidden="false" customHeight="false" outlineLevel="0" collapsed="false">
      <c r="A117" s="7" t="s">
        <v>196</v>
      </c>
      <c r="B117" s="15" t="n">
        <v>3</v>
      </c>
      <c r="C117" s="16" t="s">
        <v>197</v>
      </c>
    </row>
    <row r="118" customFormat="false" ht="15" hidden="false" customHeight="false" outlineLevel="0" collapsed="false">
      <c r="A118" s="7" t="s">
        <v>198</v>
      </c>
      <c r="B118" s="15" t="n">
        <v>6</v>
      </c>
      <c r="C118" s="16" t="s">
        <v>199</v>
      </c>
    </row>
    <row r="119" customFormat="false" ht="15" hidden="false" customHeight="false" outlineLevel="0" collapsed="false">
      <c r="A119" s="7" t="s">
        <v>200</v>
      </c>
      <c r="B119" s="15" t="n">
        <v>12</v>
      </c>
      <c r="C119" s="16" t="s">
        <v>201</v>
      </c>
    </row>
    <row r="121" customFormat="false" ht="15" hidden="false" customHeight="false" outlineLevel="0" collapsed="false">
      <c r="A121" s="10" t="s">
        <v>202</v>
      </c>
      <c r="B121" s="10"/>
      <c r="C121" s="10"/>
    </row>
    <row r="122" customFormat="false" ht="15" hidden="false" customHeight="false" outlineLevel="0" collapsed="false">
      <c r="A122" s="7" t="s">
        <v>203</v>
      </c>
      <c r="B122" s="15" t="n">
        <v>4</v>
      </c>
      <c r="C122" s="16" t="s">
        <v>204</v>
      </c>
    </row>
    <row r="123" customFormat="false" ht="15" hidden="false" customHeight="false" outlineLevel="0" collapsed="false">
      <c r="A123" s="7" t="s">
        <v>205</v>
      </c>
      <c r="B123" s="15" t="n">
        <v>6</v>
      </c>
      <c r="C123" s="16" t="s">
        <v>206</v>
      </c>
    </row>
    <row r="124" customFormat="false" ht="15" hidden="false" customHeight="false" outlineLevel="0" collapsed="false">
      <c r="A124" s="7" t="s">
        <v>207</v>
      </c>
      <c r="B124" s="19" t="n">
        <v>0.35</v>
      </c>
      <c r="C124" s="16" t="s">
        <v>208</v>
      </c>
    </row>
    <row r="125" customFormat="false" ht="15" hidden="false" customHeight="false" outlineLevel="0" collapsed="false">
      <c r="A125" s="7" t="s">
        <v>209</v>
      </c>
      <c r="B125" s="15" t="n">
        <v>6</v>
      </c>
      <c r="C125" s="16" t="s">
        <v>210</v>
      </c>
    </row>
    <row r="126" customFormat="false" ht="15" hidden="false" customHeight="false" outlineLevel="0" collapsed="false">
      <c r="A126" s="7" t="s">
        <v>211</v>
      </c>
      <c r="B126" s="15" t="n">
        <v>8</v>
      </c>
      <c r="C126" s="16" t="s">
        <v>212</v>
      </c>
    </row>
    <row r="127" customFormat="false" ht="15" hidden="false" customHeight="false" outlineLevel="0" collapsed="false">
      <c r="A127" s="7" t="s">
        <v>213</v>
      </c>
      <c r="B127" s="19" t="n">
        <v>0.55</v>
      </c>
      <c r="C127" s="16" t="s">
        <v>214</v>
      </c>
    </row>
    <row r="128" customFormat="false" ht="15" hidden="false" customHeight="false" outlineLevel="0" collapsed="false">
      <c r="A128" s="7" t="s">
        <v>215</v>
      </c>
      <c r="B128" s="15" t="n">
        <v>8</v>
      </c>
      <c r="C128" s="16" t="s">
        <v>212</v>
      </c>
    </row>
    <row r="129" customFormat="false" ht="15" hidden="false" customHeight="false" outlineLevel="0" collapsed="false">
      <c r="A129" s="7" t="s">
        <v>216</v>
      </c>
      <c r="B129" s="15" t="n">
        <v>10</v>
      </c>
      <c r="C129" s="16" t="s">
        <v>217</v>
      </c>
    </row>
    <row r="130" customFormat="false" ht="15" hidden="false" customHeight="false" outlineLevel="0" collapsed="false">
      <c r="A130" s="7" t="s">
        <v>218</v>
      </c>
      <c r="B130" s="19" t="n">
        <v>0.75</v>
      </c>
      <c r="C130" s="16" t="s">
        <v>219</v>
      </c>
    </row>
    <row r="131" customFormat="false" ht="15" hidden="false" customHeight="false" outlineLevel="0" collapsed="false">
      <c r="A131" s="7" t="s">
        <v>220</v>
      </c>
      <c r="B131" s="15" t="n">
        <v>8</v>
      </c>
      <c r="C131" s="16" t="s">
        <v>212</v>
      </c>
    </row>
    <row r="132" customFormat="false" ht="15" hidden="false" customHeight="false" outlineLevel="0" collapsed="false">
      <c r="A132" s="7" t="s">
        <v>221</v>
      </c>
      <c r="B132" s="15" t="n">
        <v>12</v>
      </c>
      <c r="C132" s="16" t="s">
        <v>222</v>
      </c>
    </row>
    <row r="133" customFormat="false" ht="15" hidden="false" customHeight="false" outlineLevel="0" collapsed="false">
      <c r="A133" s="7" t="s">
        <v>223</v>
      </c>
      <c r="B133" s="19" t="n">
        <v>0.85</v>
      </c>
      <c r="C133" s="16" t="s">
        <v>224</v>
      </c>
    </row>
    <row r="135" customFormat="false" ht="15" hidden="false" customHeight="false" outlineLevel="0" collapsed="false">
      <c r="A135" s="10" t="s">
        <v>225</v>
      </c>
      <c r="B135" s="10"/>
      <c r="C135" s="10"/>
    </row>
    <row r="136" customFormat="false" ht="15" hidden="false" customHeight="false" outlineLevel="0" collapsed="false">
      <c r="A136" s="7" t="s">
        <v>226</v>
      </c>
      <c r="B136" s="17" t="n">
        <v>13</v>
      </c>
      <c r="C136" s="16" t="s">
        <v>227</v>
      </c>
    </row>
    <row r="137" customFormat="false" ht="15" hidden="false" customHeight="false" outlineLevel="0" collapsed="false">
      <c r="A137" s="7" t="s">
        <v>228</v>
      </c>
      <c r="B137" s="19" t="n">
        <v>0.08</v>
      </c>
      <c r="C137" s="16" t="s">
        <v>229</v>
      </c>
    </row>
    <row r="138" customFormat="false" ht="15" hidden="false" customHeight="false" outlineLevel="0" collapsed="false">
      <c r="A138" s="7" t="s">
        <v>230</v>
      </c>
      <c r="B138" s="19" t="n">
        <v>0.15</v>
      </c>
      <c r="C138" s="16" t="s">
        <v>231</v>
      </c>
    </row>
    <row r="139" customFormat="false" ht="15" hidden="false" customHeight="false" outlineLevel="0" collapsed="false">
      <c r="A139" s="7" t="s">
        <v>232</v>
      </c>
      <c r="B139" s="19" t="n">
        <v>0.25</v>
      </c>
      <c r="C139" s="16" t="s">
        <v>233</v>
      </c>
    </row>
    <row r="140" customFormat="false" ht="15" hidden="false" customHeight="false" outlineLevel="0" collapsed="false">
      <c r="A140" s="7" t="s">
        <v>234</v>
      </c>
      <c r="B140" s="19" t="n">
        <v>0.2</v>
      </c>
      <c r="C140" s="16" t="s">
        <v>235</v>
      </c>
    </row>
    <row r="142" customFormat="false" ht="15" hidden="false" customHeight="false" outlineLevel="0" collapsed="false">
      <c r="A142" s="21" t="s">
        <v>236</v>
      </c>
      <c r="B142" s="21"/>
      <c r="C142" s="21"/>
    </row>
    <row r="143" customFormat="false" ht="15" hidden="false" customHeight="false" outlineLevel="0" collapsed="false">
      <c r="A143" s="7" t="s">
        <v>237</v>
      </c>
      <c r="B143" s="15" t="n">
        <v>3</v>
      </c>
      <c r="C143" s="16" t="s">
        <v>238</v>
      </c>
    </row>
    <row r="144" customFormat="false" ht="15" hidden="false" customHeight="false" outlineLevel="0" collapsed="false">
      <c r="A144" s="7" t="s">
        <v>239</v>
      </c>
      <c r="B144" s="20" t="n">
        <v>12</v>
      </c>
      <c r="C144" s="16" t="s">
        <v>240</v>
      </c>
    </row>
    <row r="145" customFormat="false" ht="15" hidden="false" customHeight="false" outlineLevel="0" collapsed="false">
      <c r="A145" s="7" t="s">
        <v>241</v>
      </c>
      <c r="B145" s="15" t="n">
        <v>16</v>
      </c>
      <c r="C145" s="16" t="s">
        <v>242</v>
      </c>
    </row>
    <row r="146" customFormat="false" ht="15" hidden="false" customHeight="false" outlineLevel="0" collapsed="false">
      <c r="A146" s="7" t="s">
        <v>243</v>
      </c>
      <c r="B146" s="22" t="n">
        <v>8</v>
      </c>
      <c r="C146" s="16" t="s">
        <v>244</v>
      </c>
    </row>
    <row r="147" customFormat="false" ht="15" hidden="false" customHeight="false" outlineLevel="0" collapsed="false">
      <c r="A147" s="7" t="s">
        <v>245</v>
      </c>
      <c r="B147" s="17" t="n">
        <v>3</v>
      </c>
      <c r="C147" s="16" t="s">
        <v>246</v>
      </c>
    </row>
    <row r="148" customFormat="false" ht="15" hidden="false" customHeight="false" outlineLevel="0" collapsed="false">
      <c r="A148" s="7" t="s">
        <v>247</v>
      </c>
      <c r="B148" s="17" t="n">
        <v>66</v>
      </c>
      <c r="C148" s="16" t="s">
        <v>248</v>
      </c>
    </row>
    <row r="149" customFormat="false" ht="15" hidden="false" customHeight="false" outlineLevel="0" collapsed="false">
      <c r="A149" s="7" t="s">
        <v>249</v>
      </c>
      <c r="B149" s="15" t="n">
        <v>2000</v>
      </c>
      <c r="C149" s="16" t="s">
        <v>250</v>
      </c>
    </row>
    <row r="150" customFormat="false" ht="15" hidden="false" customHeight="false" outlineLevel="0" collapsed="false">
      <c r="A150" s="7" t="s">
        <v>251</v>
      </c>
      <c r="B150" s="15" t="n">
        <v>4500</v>
      </c>
      <c r="C150" s="16" t="s">
        <v>252</v>
      </c>
    </row>
    <row r="151" customFormat="false" ht="15" hidden="false" customHeight="false" outlineLevel="0" collapsed="false">
      <c r="A151" s="7" t="s">
        <v>253</v>
      </c>
      <c r="B151" s="15" t="n">
        <v>8000</v>
      </c>
      <c r="C151" s="16" t="s">
        <v>254</v>
      </c>
    </row>
    <row r="152" customFormat="false" ht="15" hidden="false" customHeight="false" outlineLevel="0" collapsed="false">
      <c r="A152" s="7" t="s">
        <v>255</v>
      </c>
      <c r="B152" s="19" t="n">
        <v>0.5</v>
      </c>
      <c r="C152" s="16" t="s">
        <v>256</v>
      </c>
    </row>
    <row r="153" customFormat="false" ht="15" hidden="false" customHeight="false" outlineLevel="0" collapsed="false">
      <c r="A153" s="7" t="s">
        <v>257</v>
      </c>
      <c r="B153" s="15" t="n">
        <v>0</v>
      </c>
      <c r="C153" s="16" t="s">
        <v>258</v>
      </c>
    </row>
    <row r="154" customFormat="false" ht="15" hidden="false" customHeight="false" outlineLevel="0" collapsed="false">
      <c r="A154" s="7" t="s">
        <v>259</v>
      </c>
      <c r="B154" s="15" t="n">
        <v>25</v>
      </c>
      <c r="C154" s="16" t="s">
        <v>260</v>
      </c>
    </row>
    <row r="155" customFormat="false" ht="15" hidden="false" customHeight="false" outlineLevel="0" collapsed="false">
      <c r="A155" s="7" t="s">
        <v>261</v>
      </c>
      <c r="B155" s="15" t="n">
        <v>60</v>
      </c>
      <c r="C155" s="16" t="s">
        <v>262</v>
      </c>
    </row>
    <row r="156" customFormat="false" ht="15" hidden="false" customHeight="false" outlineLevel="0" collapsed="false">
      <c r="A156" s="7" t="s">
        <v>263</v>
      </c>
      <c r="B156" s="15" t="n">
        <v>125</v>
      </c>
      <c r="C156" s="16" t="s">
        <v>264</v>
      </c>
    </row>
    <row r="157" customFormat="false" ht="15" hidden="false" customHeight="false" outlineLevel="0" collapsed="false">
      <c r="A157" s="7" t="s">
        <v>265</v>
      </c>
      <c r="B157" s="15" t="n">
        <v>250</v>
      </c>
      <c r="C157" s="16" t="s">
        <v>266</v>
      </c>
    </row>
    <row r="158" customFormat="false" ht="15" hidden="false" customHeight="false" outlineLevel="0" collapsed="false">
      <c r="A158" s="7" t="s">
        <v>267</v>
      </c>
      <c r="B158" s="15" t="n">
        <v>400</v>
      </c>
      <c r="C158" s="16" t="s">
        <v>268</v>
      </c>
    </row>
    <row r="160" customFormat="false" ht="15" hidden="false" customHeight="false" outlineLevel="0" collapsed="false">
      <c r="A160" s="21" t="s">
        <v>269</v>
      </c>
      <c r="B160" s="21"/>
      <c r="C160" s="21"/>
    </row>
    <row r="161" customFormat="false" ht="15" hidden="false" customHeight="false" outlineLevel="0" collapsed="false">
      <c r="A161" s="7" t="s">
        <v>270</v>
      </c>
      <c r="B161" s="15" t="n">
        <v>1</v>
      </c>
      <c r="C161" s="16" t="s">
        <v>271</v>
      </c>
    </row>
    <row r="162" customFormat="false" ht="15" hidden="false" customHeight="false" outlineLevel="0" collapsed="false">
      <c r="A162" s="7" t="s">
        <v>272</v>
      </c>
      <c r="B162" s="15" t="n">
        <v>50</v>
      </c>
      <c r="C162" s="16" t="s">
        <v>273</v>
      </c>
    </row>
    <row r="163" customFormat="false" ht="15" hidden="false" customHeight="false" outlineLevel="0" collapsed="false">
      <c r="A163" s="7" t="s">
        <v>274</v>
      </c>
      <c r="B163" s="18" t="n">
        <v>0.2</v>
      </c>
      <c r="C163" s="16" t="s">
        <v>275</v>
      </c>
    </row>
    <row r="164" customFormat="false" ht="15" hidden="false" customHeight="false" outlineLevel="0" collapsed="false">
      <c r="A164" s="7" t="s">
        <v>276</v>
      </c>
      <c r="B164" s="19" t="n">
        <v>0.15</v>
      </c>
      <c r="C164" s="16" t="s">
        <v>277</v>
      </c>
    </row>
    <row r="165" customFormat="false" ht="15" hidden="false" customHeight="false" outlineLevel="0" collapsed="false">
      <c r="A165" s="7" t="s">
        <v>278</v>
      </c>
      <c r="B165" s="19" t="n">
        <v>0.1</v>
      </c>
      <c r="C165" s="16" t="s">
        <v>279</v>
      </c>
    </row>
    <row r="166" customFormat="false" ht="15" hidden="false" customHeight="false" outlineLevel="0" collapsed="false">
      <c r="A166" s="7" t="s">
        <v>280</v>
      </c>
      <c r="B166" s="18" t="n">
        <v>0.003</v>
      </c>
      <c r="C166" s="16" t="s">
        <v>281</v>
      </c>
    </row>
    <row r="167" customFormat="false" ht="15" hidden="false" customHeight="false" outlineLevel="0" collapsed="false">
      <c r="A167" s="7" t="s">
        <v>282</v>
      </c>
      <c r="B167" s="17" t="n">
        <v>5</v>
      </c>
      <c r="C167" s="16" t="s">
        <v>283</v>
      </c>
    </row>
    <row r="168" customFormat="false" ht="15" hidden="false" customHeight="false" outlineLevel="0" collapsed="false">
      <c r="A168" s="7" t="s">
        <v>284</v>
      </c>
      <c r="B168" s="17" t="n">
        <v>20</v>
      </c>
      <c r="C168" s="16" t="s">
        <v>285</v>
      </c>
    </row>
    <row r="169" customFormat="false" ht="15" hidden="false" customHeight="false" outlineLevel="0" collapsed="false">
      <c r="A169" s="7" t="s">
        <v>286</v>
      </c>
      <c r="B169" s="17" t="n">
        <v>50</v>
      </c>
      <c r="C169" s="16" t="s">
        <v>287</v>
      </c>
    </row>
    <row r="170" customFormat="false" ht="15" hidden="false" customHeight="false" outlineLevel="0" collapsed="false">
      <c r="A170" s="7" t="s">
        <v>288</v>
      </c>
      <c r="B170" s="17" t="n">
        <v>100</v>
      </c>
      <c r="C170" s="16" t="s">
        <v>289</v>
      </c>
    </row>
  </sheetData>
  <mergeCells count="17">
    <mergeCell ref="A1:C1"/>
    <mergeCell ref="A5:C5"/>
    <mergeCell ref="A9:C9"/>
    <mergeCell ref="A21:C21"/>
    <mergeCell ref="A29:C29"/>
    <mergeCell ref="A42:C42"/>
    <mergeCell ref="A49:C49"/>
    <mergeCell ref="A64:C64"/>
    <mergeCell ref="A74:C74"/>
    <mergeCell ref="A80:C80"/>
    <mergeCell ref="A93:C93"/>
    <mergeCell ref="A101:C101"/>
    <mergeCell ref="A111:C111"/>
    <mergeCell ref="A121:C121"/>
    <mergeCell ref="A135:C135"/>
    <mergeCell ref="A142:C142"/>
    <mergeCell ref="A160:C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10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2" min="21" style="0" width="12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8" min="25" style="0" width="11"/>
    <col collapsed="false" customWidth="true" hidden="false" outlineLevel="0" max="30" min="29" style="0" width="13"/>
  </cols>
  <sheetData>
    <row r="1" customFormat="false" ht="15" hidden="false" customHeight="false" outlineLevel="0" collapsed="false">
      <c r="A1" s="23" t="s">
        <v>290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customFormat="false" ht="15" hidden="false" customHeight="false" outlineLevel="0" collapsed="false">
      <c r="A2" s="2" t="s">
        <v>291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2" t="s">
        <v>292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5" customFormat="false" ht="36" hidden="false" customHeight="true" outlineLevel="0" collapsed="false">
      <c r="A5" s="24" t="s">
        <v>293</v>
      </c>
      <c r="B5" s="24" t="s">
        <v>294</v>
      </c>
      <c r="C5" s="24" t="s">
        <v>295</v>
      </c>
      <c r="D5" s="24" t="s">
        <v>296</v>
      </c>
      <c r="E5" s="24" t="s">
        <v>297</v>
      </c>
      <c r="F5" s="24" t="s">
        <v>298</v>
      </c>
      <c r="G5" s="24" t="s">
        <v>299</v>
      </c>
      <c r="H5" s="24" t="s">
        <v>300</v>
      </c>
      <c r="I5" s="24" t="s">
        <v>301</v>
      </c>
      <c r="J5" s="24" t="s">
        <v>302</v>
      </c>
      <c r="K5" s="24" t="s">
        <v>303</v>
      </c>
      <c r="L5" s="24" t="s">
        <v>304</v>
      </c>
      <c r="M5" s="24" t="s">
        <v>305</v>
      </c>
      <c r="N5" s="24" t="s">
        <v>306</v>
      </c>
      <c r="O5" s="24" t="s">
        <v>307</v>
      </c>
      <c r="P5" s="24" t="s">
        <v>308</v>
      </c>
      <c r="Q5" s="24" t="s">
        <v>309</v>
      </c>
      <c r="R5" s="24" t="s">
        <v>310</v>
      </c>
      <c r="S5" s="24" t="s">
        <v>311</v>
      </c>
      <c r="T5" s="24" t="s">
        <v>312</v>
      </c>
      <c r="U5" s="24" t="s">
        <v>313</v>
      </c>
      <c r="V5" s="24" t="s">
        <v>314</v>
      </c>
      <c r="W5" s="24" t="s">
        <v>315</v>
      </c>
      <c r="X5" s="24" t="s">
        <v>316</v>
      </c>
      <c r="Y5" s="25" t="s">
        <v>317</v>
      </c>
      <c r="Z5" s="25" t="s">
        <v>318</v>
      </c>
      <c r="AA5" s="25" t="s">
        <v>319</v>
      </c>
      <c r="AB5" s="25" t="s">
        <v>320</v>
      </c>
      <c r="AC5" s="25" t="s">
        <v>321</v>
      </c>
      <c r="AD5" s="25" t="s">
        <v>322</v>
      </c>
    </row>
    <row r="6" customFormat="false" ht="15" hidden="false" customHeight="false" outlineLevel="0" collapsed="false">
      <c r="A6" s="26" t="n">
        <v>1</v>
      </c>
      <c r="B6" s="27" t="n">
        <f aca="false">Assumptions!B30</f>
        <v>500</v>
      </c>
      <c r="C6" s="28" t="n">
        <f aca="false">ROUND(AB6*Assumptions!B25,0)</f>
        <v>10</v>
      </c>
      <c r="D6" s="28" t="n">
        <f aca="false">ROUND(AB6*Assumptions!B22,0)</f>
        <v>1</v>
      </c>
      <c r="E6" s="28" t="n">
        <f aca="false">D6</f>
        <v>1</v>
      </c>
      <c r="F6" s="28" t="n">
        <f aca="false">0</f>
        <v>0</v>
      </c>
      <c r="G6" s="28" t="n">
        <f aca="false">D6-F6</f>
        <v>1</v>
      </c>
      <c r="H6" s="29" t="n">
        <f aca="false">ROUND(E6*Assumptions!B14,0)</f>
        <v>8</v>
      </c>
      <c r="I6" s="29" t="n">
        <f aca="false">H6</f>
        <v>8</v>
      </c>
      <c r="J6" s="28" t="n">
        <f aca="false">ROUND(E6*Assumptions!B68,0)</f>
        <v>4</v>
      </c>
      <c r="K6" s="29" t="n">
        <f aca="false">ROUND(J6*Assumptions!B65,0)</f>
        <v>0</v>
      </c>
      <c r="L6" s="29" t="n">
        <f aca="false">Assumptions!B70+IF(E6&gt;Assumptions!B72,45,0)</f>
        <v>31</v>
      </c>
      <c r="M6" s="29" t="n">
        <f aca="false">Assumptions!B94+Assumptions!B95+Assumptions!B76+Assumptions!B77</f>
        <v>2785</v>
      </c>
      <c r="N6" s="29" t="n">
        <f aca="false">Assumptions!B81+Assumptions!B82+Assumptions!B87/12</f>
        <v>50</v>
      </c>
      <c r="O6" s="29" t="n">
        <f aca="false">ROUND(I6*Assumptions!B85+E6*Assumptions!B86+W6*Assumptions!B85+ROUND(AB6*Assumptions!B137*Assumptions!B138*Assumptions!B139,0)*Assumptions!B86,0)</f>
        <v>2</v>
      </c>
      <c r="P6" s="29" t="n">
        <f aca="false">K6+L6+M6+N6+O6+X6</f>
        <v>2871</v>
      </c>
      <c r="Q6" s="29" t="n">
        <f aca="false">I6-P6</f>
        <v>-2863</v>
      </c>
      <c r="R6" s="29" t="n">
        <f aca="false">0</f>
        <v>0</v>
      </c>
      <c r="S6" s="30" t="n">
        <f aca="false">I6+R6+W6+AC6+AD6</f>
        <v>28</v>
      </c>
      <c r="T6" s="29" t="n">
        <f aca="false">IF(U6&lt;P6*3,0,IF(U6&lt;P6*6,ROUND((Q6+R6+W6+AC6+AD6)*0.75*Assumptions!B113,0),ROUND((Q6+R6+W6+AC6+AD6)*0.75*Assumptions!B114,0)))</f>
        <v>0</v>
      </c>
      <c r="U6" s="30" t="n">
        <f aca="false">Q6+R6+W6+AC6+AD6</f>
        <v>-2843</v>
      </c>
      <c r="V6" s="31" t="str">
        <f aca="false">IF(AB6&gt;=Assumptions!B107,"Signal 6",IF(AB6&gt;=Assumptions!B106,"Signal 5",IF(AB6&gt;=Assumptions!B105,"Signal 4",IF(AB6&gt;=Assumptions!B104,"Signal 3",IF(AB6&gt;=Assumptions!B103,"Signal 2",IF(AB6&gt;=Assumptions!B102,"Signal 1","Pre-Signal 1"))))))</f>
        <v>Pre-Signal 1</v>
      </c>
      <c r="W6" s="29" t="n">
        <f aca="false">ROUND(AB6*Assumptions!B137*Assumptions!B138*Assumptions!B139*Assumptions!B136,0)</f>
        <v>20</v>
      </c>
      <c r="X6" s="29" t="n">
        <f aca="false">ROUND(AB6*Assumptions!B137*Assumptions!B65,0)</f>
        <v>3</v>
      </c>
      <c r="Y6" s="32" t="n">
        <f aca="false">Assumptions!B162</f>
        <v>50</v>
      </c>
      <c r="Z6" s="33" t="n">
        <f aca="false">Assumptions!B153</f>
        <v>0</v>
      </c>
      <c r="AA6" s="32" t="n">
        <f aca="false">ROUND(Y6*Assumptions!B166,0)</f>
        <v>0</v>
      </c>
      <c r="AB6" s="34" t="n">
        <f aca="false">B6+Z6+AA6</f>
        <v>500</v>
      </c>
      <c r="AC6" s="35" t="n">
        <f aca="false">ROUND(IF(A6&gt;=Assumptions!B144,(IF(A6&gt;=25,Assumptions!B151,IF(A6&gt;=16,Assumptions!B150,Assumptions!B149))/1000*Assumptions!B146)+IF(A6&gt;=Assumptions!B145,(IF(A6&gt;=25,Assumptions!B151,IF(A6&gt;=16,Assumptions!B150,Assumptions!B149))*Assumptions!B152/1000*Assumptions!B147),0),0),0)</f>
        <v>0</v>
      </c>
      <c r="AD6" s="35" t="n">
        <f aca="false">IF(Y6&gt;=10000,Assumptions!B170,IF(Y6&gt;=5000,Assumptions!B169,IF(Y6&gt;=2000,Assumptions!B168,IF(Y6&gt;=500,Assumptions!B167,0))))</f>
        <v>0</v>
      </c>
    </row>
    <row r="7" customFormat="false" ht="15" hidden="false" customHeight="false" outlineLevel="0" collapsed="false">
      <c r="A7" s="36" t="n">
        <v>2</v>
      </c>
      <c r="B7" s="37" t="n">
        <f aca="false">B6*(1+Assumptions!B33)</f>
        <v>540</v>
      </c>
      <c r="C7" s="38" t="n">
        <f aca="false">ROUND(AB7*Assumptions!B25,0)</f>
        <v>11</v>
      </c>
      <c r="D7" s="38" t="n">
        <f aca="false">ROUND(AB7*Assumptions!B22,0)</f>
        <v>1</v>
      </c>
      <c r="E7" s="38" t="n">
        <f aca="false">E6+D7-F7</f>
        <v>2</v>
      </c>
      <c r="F7" s="38" t="n">
        <f aca="false">ROUND(E6*Assumptions!B43,0)</f>
        <v>0</v>
      </c>
      <c r="G7" s="38" t="n">
        <f aca="false">D7-F7</f>
        <v>1</v>
      </c>
      <c r="H7" s="39" t="n">
        <f aca="false">ROUND(E7*Assumptions!B14,0)</f>
        <v>16</v>
      </c>
      <c r="I7" s="39" t="n">
        <f aca="false">H7</f>
        <v>16</v>
      </c>
      <c r="J7" s="38" t="n">
        <f aca="false">ROUND(E7*Assumptions!B68,0)</f>
        <v>7</v>
      </c>
      <c r="K7" s="39" t="n">
        <f aca="false">ROUND(J7*Assumptions!B65,0)</f>
        <v>1</v>
      </c>
      <c r="L7" s="39" t="n">
        <f aca="false">Assumptions!B70+IF(E7&gt;Assumptions!B72,45,0)</f>
        <v>31</v>
      </c>
      <c r="M7" s="39" t="n">
        <f aca="false">Assumptions!B76+Assumptions!B77</f>
        <v>35</v>
      </c>
      <c r="N7" s="39" t="n">
        <f aca="false">Assumptions!B81+Assumptions!B82+Assumptions!B87/12</f>
        <v>50</v>
      </c>
      <c r="O7" s="39" t="n">
        <f aca="false">ROUND(I7*Assumptions!B85+E7*Assumptions!B86+W7*Assumptions!B85+ROUND(AB7*Assumptions!B137*Assumptions!B138*Assumptions!B139,0)*Assumptions!B86,0)</f>
        <v>2</v>
      </c>
      <c r="P7" s="39" t="n">
        <f aca="false">K7+L7+M7+N7+O7+X7</f>
        <v>122</v>
      </c>
      <c r="Q7" s="39" t="n">
        <f aca="false">I7-P7</f>
        <v>-106</v>
      </c>
      <c r="R7" s="39" t="n">
        <f aca="false">0</f>
        <v>0</v>
      </c>
      <c r="S7" s="40" t="n">
        <f aca="false">I7+R7+W7+AC7+AD7</f>
        <v>37</v>
      </c>
      <c r="T7" s="39" t="n">
        <f aca="false">IF(U7&lt;P7*3,0,IF(U7&lt;P7*6,ROUND((Q7+R7+W7+AC7+AD7)*0.75*Assumptions!B113,0),ROUND((Q7+R7+W7+AC7+AD7)*0.75*Assumptions!B114,0)))</f>
        <v>0</v>
      </c>
      <c r="U7" s="40" t="n">
        <f aca="false">U6+Q7+R7+W7+AC7+AD7</f>
        <v>-2928</v>
      </c>
      <c r="V7" s="41" t="str">
        <f aca="false">IF(AB7&gt;=Assumptions!B107,"Signal 6",IF(AB7&gt;=Assumptions!B106,"Signal 5",IF(AB7&gt;=Assumptions!B105,"Signal 4",IF(AB7&gt;=Assumptions!B104,"Signal 3",IF(AB7&gt;=Assumptions!B103,"Signal 2",IF(AB7&gt;=Assumptions!B102,"Signal 1","Pre-Signal 1"))))))</f>
        <v>Pre-Signal 1</v>
      </c>
      <c r="W7" s="39" t="n">
        <f aca="false">ROUND(AB7*Assumptions!B137*Assumptions!B138*Assumptions!B139*Assumptions!B136,0)</f>
        <v>21</v>
      </c>
      <c r="X7" s="39" t="n">
        <f aca="false">ROUND(AB7*Assumptions!B137*Assumptions!B65,0)</f>
        <v>3</v>
      </c>
      <c r="Y7" s="32" t="n">
        <f aca="false">ROUND(Y6*(1+Assumptions!B163),0)</f>
        <v>60</v>
      </c>
      <c r="Z7" s="33" t="n">
        <f aca="false">Assumptions!B153</f>
        <v>0</v>
      </c>
      <c r="AA7" s="32" t="n">
        <f aca="false">ROUND(Y7*Assumptions!B166,0)</f>
        <v>0</v>
      </c>
      <c r="AB7" s="34" t="n">
        <f aca="false">B7+Z7+AA7</f>
        <v>540</v>
      </c>
      <c r="AC7" s="35" t="n">
        <f aca="false">ROUND(IF(A7&gt;=Assumptions!B144,(IF(A7&gt;=25,Assumptions!B151,IF(A7&gt;=16,Assumptions!B150,Assumptions!B149))/1000*Assumptions!B146)+IF(A7&gt;=Assumptions!B145,(IF(A7&gt;=25,Assumptions!B151,IF(A7&gt;=16,Assumptions!B150,Assumptions!B149))*Assumptions!B152/1000*Assumptions!B147),0),0),0)</f>
        <v>0</v>
      </c>
      <c r="AD7" s="35" t="n">
        <f aca="false">IF(Y7&gt;=10000,Assumptions!B170,IF(Y7&gt;=5000,Assumptions!B169,IF(Y7&gt;=2000,Assumptions!B168,IF(Y7&gt;=500,Assumptions!B167,0))))</f>
        <v>0</v>
      </c>
    </row>
    <row r="8" customFormat="false" ht="15" hidden="false" customHeight="false" outlineLevel="0" collapsed="false">
      <c r="A8" s="26" t="n">
        <v>3</v>
      </c>
      <c r="B8" s="27" t="n">
        <f aca="false">B7*(1+Assumptions!B33)*Assumptions!B36</f>
        <v>670.68</v>
      </c>
      <c r="C8" s="28" t="n">
        <f aca="false">ROUND(AB8*Assumptions!B25,0)</f>
        <v>13</v>
      </c>
      <c r="D8" s="28" t="n">
        <f aca="false">ROUND(AB8*Assumptions!B22,0)</f>
        <v>1</v>
      </c>
      <c r="E8" s="28" t="n">
        <f aca="false">E7+D8-F8</f>
        <v>3</v>
      </c>
      <c r="F8" s="28" t="n">
        <f aca="false">ROUND(E7*Assumptions!B43,0)</f>
        <v>0</v>
      </c>
      <c r="G8" s="28" t="n">
        <f aca="false">D8-F8</f>
        <v>1</v>
      </c>
      <c r="H8" s="29" t="n">
        <f aca="false">ROUND(E8*Assumptions!B14,0)</f>
        <v>24</v>
      </c>
      <c r="I8" s="29" t="n">
        <f aca="false">H8</f>
        <v>24</v>
      </c>
      <c r="J8" s="28" t="n">
        <f aca="false">ROUND(E8*Assumptions!B68,0)</f>
        <v>11</v>
      </c>
      <c r="K8" s="29" t="n">
        <f aca="false">ROUND(J8*Assumptions!B65,0)</f>
        <v>1</v>
      </c>
      <c r="L8" s="29" t="n">
        <f aca="false">Assumptions!B70+IF(E8&gt;Assumptions!B72,45,0)</f>
        <v>31</v>
      </c>
      <c r="M8" s="29" t="n">
        <f aca="false">Assumptions!B76+Assumptions!B77</f>
        <v>35</v>
      </c>
      <c r="N8" s="29" t="n">
        <f aca="false">Assumptions!B81+Assumptions!B82+Assumptions!B87/12+Assumptions!B148</f>
        <v>116</v>
      </c>
      <c r="O8" s="29" t="n">
        <f aca="false">ROUND(I8*Assumptions!B85+E8*Assumptions!B86+W8*Assumptions!B85+ROUND(AB8*Assumptions!B137*Assumptions!B138*Assumptions!B139,0)*Assumptions!B86,0)</f>
        <v>3</v>
      </c>
      <c r="P8" s="29" t="n">
        <f aca="false">K8+L8+M8+N8+O8+X8</f>
        <v>190</v>
      </c>
      <c r="Q8" s="29" t="n">
        <f aca="false">I8-P8</f>
        <v>-166</v>
      </c>
      <c r="R8" s="29" t="n">
        <f aca="false">0</f>
        <v>0</v>
      </c>
      <c r="S8" s="30" t="n">
        <f aca="false">I8+R8+W8+AC8+AD8</f>
        <v>50</v>
      </c>
      <c r="T8" s="29" t="n">
        <f aca="false">IF(U8&lt;P8*3,0,IF(U8&lt;P8*6,ROUND((Q8+R8+W8+AC8+AD8)*0.75*Assumptions!B113,0),ROUND((Q8+R8+W8+AC8+AD8)*0.75*Assumptions!B114,0)))</f>
        <v>0</v>
      </c>
      <c r="U8" s="30" t="n">
        <f aca="false">U7+Q8+R8+W8+AC8+AD8</f>
        <v>-3068</v>
      </c>
      <c r="V8" s="31" t="str">
        <f aca="false">IF(AB8&gt;=Assumptions!B107,"Signal 6",IF(AB8&gt;=Assumptions!B106,"Signal 5",IF(AB8&gt;=Assumptions!B105,"Signal 4",IF(AB8&gt;=Assumptions!B104,"Signal 3",IF(AB8&gt;=Assumptions!B103,"Signal 2",IF(AB8&gt;=Assumptions!B102,"Signal 1","Pre-Signal 1"))))))</f>
        <v>Pre-Signal 1</v>
      </c>
      <c r="W8" s="29" t="n">
        <f aca="false">ROUND(AB8*Assumptions!B137*Assumptions!B138*Assumptions!B139*Assumptions!B136,0)</f>
        <v>26</v>
      </c>
      <c r="X8" s="29" t="n">
        <f aca="false">ROUND(AB8*Assumptions!B137*Assumptions!B65,0)</f>
        <v>4</v>
      </c>
      <c r="Y8" s="32" t="n">
        <f aca="false">ROUND(Y7*(1+Assumptions!B163),0)</f>
        <v>72</v>
      </c>
      <c r="Z8" s="33" t="n">
        <f aca="false">Assumptions!B153</f>
        <v>0</v>
      </c>
      <c r="AA8" s="32" t="n">
        <f aca="false">ROUND(Y8*Assumptions!B166,0)</f>
        <v>0</v>
      </c>
      <c r="AB8" s="34" t="n">
        <f aca="false">B8+Z8+AA8</f>
        <v>670.68</v>
      </c>
      <c r="AC8" s="35" t="n">
        <f aca="false">ROUND(IF(A8&gt;=Assumptions!B144,(IF(A8&gt;=25,Assumptions!B151,IF(A8&gt;=16,Assumptions!B150,Assumptions!B149))/1000*Assumptions!B146)+IF(A8&gt;=Assumptions!B145,(IF(A8&gt;=25,Assumptions!B151,IF(A8&gt;=16,Assumptions!B150,Assumptions!B149))*Assumptions!B152/1000*Assumptions!B147),0),0),0)</f>
        <v>0</v>
      </c>
      <c r="AD8" s="35" t="n">
        <f aca="false">IF(Y8&gt;=10000,Assumptions!B170,IF(Y8&gt;=5000,Assumptions!B169,IF(Y8&gt;=2000,Assumptions!B168,IF(Y8&gt;=500,Assumptions!B167,0))))</f>
        <v>0</v>
      </c>
    </row>
    <row r="9" customFormat="false" ht="15" hidden="false" customHeight="false" outlineLevel="0" collapsed="false">
      <c r="A9" s="36" t="n">
        <v>4</v>
      </c>
      <c r="B9" s="37" t="n">
        <f aca="false">B8*(1+Assumptions!B33)</f>
        <v>724.3344</v>
      </c>
      <c r="C9" s="38" t="n">
        <f aca="false">ROUND(AB9*Assumptions!B25,0)</f>
        <v>14</v>
      </c>
      <c r="D9" s="38" t="n">
        <f aca="false">ROUND(AB9*Assumptions!B22,0)</f>
        <v>1</v>
      </c>
      <c r="E9" s="38" t="n">
        <f aca="false">E8+D9-F9</f>
        <v>4</v>
      </c>
      <c r="F9" s="38" t="n">
        <f aca="false">ROUND(E8*Assumptions!B43,0)</f>
        <v>0</v>
      </c>
      <c r="G9" s="38" t="n">
        <f aca="false">D9-F9</f>
        <v>1</v>
      </c>
      <c r="H9" s="39" t="n">
        <f aca="false">ROUND(E9*Assumptions!B14,0)</f>
        <v>32</v>
      </c>
      <c r="I9" s="39" t="n">
        <f aca="false">H9</f>
        <v>32</v>
      </c>
      <c r="J9" s="38" t="n">
        <f aca="false">ROUND(E9*Assumptions!B68,0)</f>
        <v>14</v>
      </c>
      <c r="K9" s="39" t="n">
        <f aca="false">ROUND(J9*Assumptions!B65,0)</f>
        <v>1</v>
      </c>
      <c r="L9" s="39" t="n">
        <f aca="false">Assumptions!B70+IF(E9&gt;Assumptions!B72,45,0)</f>
        <v>31</v>
      </c>
      <c r="M9" s="39" t="n">
        <f aca="false">Assumptions!B76+Assumptions!B77</f>
        <v>35</v>
      </c>
      <c r="N9" s="39" t="n">
        <f aca="false">Assumptions!B81+Assumptions!B82+Assumptions!B87/12+Assumptions!B148</f>
        <v>116</v>
      </c>
      <c r="O9" s="39" t="n">
        <f aca="false">ROUND(I9*Assumptions!B85+E9*Assumptions!B86+W9*Assumptions!B85+ROUND(AB9*Assumptions!B137*Assumptions!B138*Assumptions!B139,0)*Assumptions!B86,0)</f>
        <v>4</v>
      </c>
      <c r="P9" s="39" t="n">
        <f aca="false">K9+L9+M9+N9+O9+X9</f>
        <v>192</v>
      </c>
      <c r="Q9" s="39" t="n">
        <f aca="false">I9-P9</f>
        <v>-160</v>
      </c>
      <c r="R9" s="39" t="n">
        <f aca="false">0</f>
        <v>0</v>
      </c>
      <c r="S9" s="40" t="n">
        <f aca="false">I9+R9+W9+AC9+AD9</f>
        <v>60</v>
      </c>
      <c r="T9" s="39" t="n">
        <f aca="false">IF(U9&lt;P9*3,0,IF(U9&lt;P9*6,ROUND((Q9+R9+W9+AC9+AD9)*0.75*Assumptions!B113,0),ROUND((Q9+R9+W9+AC9+AD9)*0.75*Assumptions!B114,0)))</f>
        <v>0</v>
      </c>
      <c r="U9" s="40" t="n">
        <f aca="false">U8+Q9+R9+W9+AC9+AD9</f>
        <v>-3200</v>
      </c>
      <c r="V9" s="41" t="str">
        <f aca="false">IF(AB9&gt;=Assumptions!B107,"Signal 6",IF(AB9&gt;=Assumptions!B106,"Signal 5",IF(AB9&gt;=Assumptions!B105,"Signal 4",IF(AB9&gt;=Assumptions!B104,"Signal 3",IF(AB9&gt;=Assumptions!B103,"Signal 2",IF(AB9&gt;=Assumptions!B102,"Signal 1","Pre-Signal 1"))))))</f>
        <v>Pre-Signal 1</v>
      </c>
      <c r="W9" s="39" t="n">
        <f aca="false">ROUND(AB9*Assumptions!B137*Assumptions!B138*Assumptions!B139*Assumptions!B136,0)</f>
        <v>28</v>
      </c>
      <c r="X9" s="39" t="n">
        <f aca="false">ROUND(AB9*Assumptions!B137*Assumptions!B65,0)</f>
        <v>5</v>
      </c>
      <c r="Y9" s="32" t="n">
        <f aca="false">ROUND(Y8*(1+Assumptions!B163),0)</f>
        <v>86</v>
      </c>
      <c r="Z9" s="33" t="n">
        <f aca="false">Assumptions!B153</f>
        <v>0</v>
      </c>
      <c r="AA9" s="32" t="n">
        <f aca="false">ROUND(Y9*Assumptions!B166,0)</f>
        <v>0</v>
      </c>
      <c r="AB9" s="34" t="n">
        <f aca="false">B9+Z9+AA9</f>
        <v>724.3344</v>
      </c>
      <c r="AC9" s="35" t="n">
        <f aca="false">ROUND(IF(A9&gt;=Assumptions!B144,(IF(A9&gt;=25,Assumptions!B151,IF(A9&gt;=16,Assumptions!B150,Assumptions!B149))/1000*Assumptions!B146)+IF(A9&gt;=Assumptions!B145,(IF(A9&gt;=25,Assumptions!B151,IF(A9&gt;=16,Assumptions!B150,Assumptions!B149))*Assumptions!B152/1000*Assumptions!B147),0),0),0)</f>
        <v>0</v>
      </c>
      <c r="AD9" s="35" t="n">
        <f aca="false">IF(Y9&gt;=10000,Assumptions!B170,IF(Y9&gt;=5000,Assumptions!B169,IF(Y9&gt;=2000,Assumptions!B168,IF(Y9&gt;=500,Assumptions!B167,0))))</f>
        <v>0</v>
      </c>
    </row>
    <row r="10" customFormat="false" ht="15" hidden="false" customHeight="false" outlineLevel="0" collapsed="false">
      <c r="A10" s="26" t="n">
        <v>5</v>
      </c>
      <c r="B10" s="27" t="n">
        <f aca="false">B9*(1+Assumptions!B33)</f>
        <v>782.281152</v>
      </c>
      <c r="C10" s="28" t="n">
        <f aca="false">ROUND(AB10*Assumptions!B25,0)</f>
        <v>16</v>
      </c>
      <c r="D10" s="28" t="n">
        <f aca="false">ROUND(AB10*Assumptions!B22,0)</f>
        <v>1</v>
      </c>
      <c r="E10" s="28" t="n">
        <f aca="false">E9+D10-F10</f>
        <v>5</v>
      </c>
      <c r="F10" s="28" t="n">
        <f aca="false">ROUND(E9*Assumptions!B43,0)</f>
        <v>0</v>
      </c>
      <c r="G10" s="28" t="n">
        <f aca="false">D10-F10</f>
        <v>1</v>
      </c>
      <c r="H10" s="29" t="n">
        <f aca="false">ROUND(E10*Assumptions!B14,0)</f>
        <v>40</v>
      </c>
      <c r="I10" s="29" t="n">
        <f aca="false">H10</f>
        <v>40</v>
      </c>
      <c r="J10" s="28" t="n">
        <f aca="false">ROUND(E10*Assumptions!B68,0)</f>
        <v>18</v>
      </c>
      <c r="K10" s="29" t="n">
        <f aca="false">ROUND(J10*Assumptions!B65,0)</f>
        <v>1</v>
      </c>
      <c r="L10" s="29" t="n">
        <f aca="false">Assumptions!B70+IF(E10&gt;Assumptions!B72,45,0)</f>
        <v>31</v>
      </c>
      <c r="M10" s="29" t="n">
        <f aca="false">Assumptions!B76+Assumptions!B77</f>
        <v>35</v>
      </c>
      <c r="N10" s="29" t="n">
        <f aca="false">Assumptions!B81+Assumptions!B82+Assumptions!B87/12+Assumptions!B148</f>
        <v>116</v>
      </c>
      <c r="O10" s="29" t="n">
        <f aca="false">ROUND(I10*Assumptions!B85+E10*Assumptions!B86+W10*Assumptions!B85+ROUND(AB10*Assumptions!B137*Assumptions!B138*Assumptions!B139,0)*Assumptions!B86,0)</f>
        <v>4</v>
      </c>
      <c r="P10" s="29" t="n">
        <f aca="false">K10+L10+M10+N10+O10+X10</f>
        <v>192</v>
      </c>
      <c r="Q10" s="29" t="n">
        <f aca="false">I10-P10</f>
        <v>-152</v>
      </c>
      <c r="R10" s="29" t="n">
        <f aca="false">0</f>
        <v>0</v>
      </c>
      <c r="S10" s="30" t="n">
        <f aca="false">I10+R10+W10+AC10+AD10</f>
        <v>71</v>
      </c>
      <c r="T10" s="29" t="n">
        <f aca="false">IF(U10&lt;P10*3,0,IF(U10&lt;P10*6,ROUND((Q10+R10+W10+AC10+AD10)*0.75*Assumptions!B113,0),ROUND((Q10+R10+W10+AC10+AD10)*0.75*Assumptions!B114,0)))</f>
        <v>0</v>
      </c>
      <c r="U10" s="30" t="n">
        <f aca="false">U9+Q10+R10+W10+AC10+AD10</f>
        <v>-3321</v>
      </c>
      <c r="V10" s="31" t="str">
        <f aca="false">IF(AB10&gt;=Assumptions!B107,"Signal 6",IF(AB10&gt;=Assumptions!B106,"Signal 5",IF(AB10&gt;=Assumptions!B105,"Signal 4",IF(AB10&gt;=Assumptions!B104,"Signal 3",IF(AB10&gt;=Assumptions!B103,"Signal 2",IF(AB10&gt;=Assumptions!B102,"Signal 1","Pre-Signal 1"))))))</f>
        <v>Pre-Signal 1</v>
      </c>
      <c r="W10" s="29" t="n">
        <f aca="false">ROUND(AB10*Assumptions!B137*Assumptions!B138*Assumptions!B139*Assumptions!B136,0)</f>
        <v>31</v>
      </c>
      <c r="X10" s="29" t="n">
        <f aca="false">ROUND(AB10*Assumptions!B137*Assumptions!B65,0)</f>
        <v>5</v>
      </c>
      <c r="Y10" s="32" t="n">
        <f aca="false">ROUND(Y9*(1+Assumptions!B163),0)</f>
        <v>103</v>
      </c>
      <c r="Z10" s="33" t="n">
        <f aca="false">Assumptions!B153</f>
        <v>0</v>
      </c>
      <c r="AA10" s="32" t="n">
        <f aca="false">ROUND(Y10*Assumptions!B166,0)</f>
        <v>0</v>
      </c>
      <c r="AB10" s="34" t="n">
        <f aca="false">B10+Z10+AA10</f>
        <v>782.281152</v>
      </c>
      <c r="AC10" s="35" t="n">
        <f aca="false">ROUND(IF(A10&gt;=Assumptions!B144,(IF(A10&gt;=25,Assumptions!B151,IF(A10&gt;=16,Assumptions!B150,Assumptions!B149))/1000*Assumptions!B146)+IF(A10&gt;=Assumptions!B145,(IF(A10&gt;=25,Assumptions!B151,IF(A10&gt;=16,Assumptions!B150,Assumptions!B149))*Assumptions!B152/1000*Assumptions!B147),0),0),0)</f>
        <v>0</v>
      </c>
      <c r="AD10" s="35" t="n">
        <f aca="false">IF(Y10&gt;=10000,Assumptions!B170,IF(Y10&gt;=5000,Assumptions!B169,IF(Y10&gt;=2000,Assumptions!B168,IF(Y10&gt;=500,Assumptions!B167,0))))</f>
        <v>0</v>
      </c>
    </row>
    <row r="11" customFormat="false" ht="15" hidden="false" customHeight="false" outlineLevel="0" collapsed="false">
      <c r="A11" s="36" t="n">
        <v>6</v>
      </c>
      <c r="B11" s="37" t="n">
        <f aca="false">B10*(1+Assumptions!B33)*Assumptions!B37</f>
        <v>912.4527356928</v>
      </c>
      <c r="C11" s="38" t="n">
        <f aca="false">ROUND(AB11*Assumptions!B25,0)</f>
        <v>19</v>
      </c>
      <c r="D11" s="38" t="n">
        <f aca="false">ROUND(AB11*Assumptions!B22,0)</f>
        <v>1</v>
      </c>
      <c r="E11" s="38" t="n">
        <f aca="false">E10+D11-F11</f>
        <v>6</v>
      </c>
      <c r="F11" s="38" t="n">
        <f aca="false">ROUND(E10*Assumptions!B43,0)</f>
        <v>0</v>
      </c>
      <c r="G11" s="38" t="n">
        <f aca="false">D11-F11</f>
        <v>1</v>
      </c>
      <c r="H11" s="39" t="n">
        <f aca="false">ROUND(E11*Assumptions!B14,0)</f>
        <v>48</v>
      </c>
      <c r="I11" s="39" t="n">
        <f aca="false">H11</f>
        <v>48</v>
      </c>
      <c r="J11" s="38" t="n">
        <f aca="false">ROUND(E11*Assumptions!B68,0)</f>
        <v>21</v>
      </c>
      <c r="K11" s="39" t="n">
        <f aca="false">ROUND(J11*Assumptions!B65,0)</f>
        <v>2</v>
      </c>
      <c r="L11" s="39" t="n">
        <f aca="false">Assumptions!B70+IF(E11&gt;Assumptions!B72,45,0)</f>
        <v>31</v>
      </c>
      <c r="M11" s="39" t="n">
        <f aca="false">Assumptions!B76+Assumptions!B77</f>
        <v>35</v>
      </c>
      <c r="N11" s="39" t="n">
        <f aca="false">Assumptions!B81+Assumptions!B82+Assumptions!B87/12+Assumptions!B148</f>
        <v>116</v>
      </c>
      <c r="O11" s="39" t="n">
        <f aca="false">ROUND(I11*Assumptions!B85+E11*Assumptions!B86+W11*Assumptions!B85+ROUND(AB11*Assumptions!B137*Assumptions!B138*Assumptions!B139,0)*Assumptions!B86,0)</f>
        <v>5</v>
      </c>
      <c r="P11" s="39" t="n">
        <f aca="false">K11+L11+M11+N11+O11+X11</f>
        <v>195</v>
      </c>
      <c r="Q11" s="39" t="n">
        <f aca="false">I11-P11</f>
        <v>-147</v>
      </c>
      <c r="R11" s="39" t="n">
        <f aca="false">ROUND(AB11*Assumptions!B51*Assumptions!B52,0)</f>
        <v>328</v>
      </c>
      <c r="S11" s="40" t="n">
        <f aca="false">I11+R11+W11+AC11+AD11</f>
        <v>413</v>
      </c>
      <c r="T11" s="39" t="n">
        <f aca="false">IF(U11&lt;P11*3,0,IF(U11&lt;P11*6,ROUND((Q11+R11+W11+AC11+AD11)*0.75*Assumptions!B113,0),ROUND((Q11+R11+W11+AC11+AD11)*0.75*Assumptions!B114,0)))</f>
        <v>0</v>
      </c>
      <c r="U11" s="40" t="n">
        <f aca="false">U10+Q11+R11+W11+AC11+AD11</f>
        <v>-3103</v>
      </c>
      <c r="V11" s="41" t="str">
        <f aca="false">IF(AB11&gt;=Assumptions!B107,"Signal 6",IF(AB11&gt;=Assumptions!B106,"Signal 5",IF(AB11&gt;=Assumptions!B105,"Signal 4",IF(AB11&gt;=Assumptions!B104,"Signal 3",IF(AB11&gt;=Assumptions!B103,"Signal 2",IF(AB11&gt;=Assumptions!B102,"Signal 1","Pre-Signal 1"))))))</f>
        <v>Pre-Signal 1</v>
      </c>
      <c r="W11" s="39" t="n">
        <f aca="false">ROUND(AB11*Assumptions!B137*Assumptions!B138*Assumptions!B139*Assumptions!B136,0)</f>
        <v>37</v>
      </c>
      <c r="X11" s="39" t="n">
        <f aca="false">ROUND(AB11*Assumptions!B137*Assumptions!B65,0)</f>
        <v>6</v>
      </c>
      <c r="Y11" s="32" t="n">
        <f aca="false">ROUND(Y10*(1+Assumptions!B163),0)</f>
        <v>124</v>
      </c>
      <c r="Z11" s="33" t="n">
        <f aca="false">Assumptions!B154</f>
        <v>25</v>
      </c>
      <c r="AA11" s="32" t="n">
        <f aca="false">ROUND(Y11*Assumptions!B166,0)</f>
        <v>0</v>
      </c>
      <c r="AB11" s="34" t="n">
        <f aca="false">B11+Z11+AA11</f>
        <v>937.4527356928</v>
      </c>
      <c r="AC11" s="35" t="n">
        <f aca="false">ROUND(IF(A11&gt;=Assumptions!B144,(IF(A11&gt;=25,Assumptions!B151,IF(A11&gt;=16,Assumptions!B150,Assumptions!B149))/1000*Assumptions!B146)+IF(A11&gt;=Assumptions!B145,(IF(A11&gt;=25,Assumptions!B151,IF(A11&gt;=16,Assumptions!B150,Assumptions!B149))*Assumptions!B152/1000*Assumptions!B147),0),0),0)</f>
        <v>0</v>
      </c>
      <c r="AD11" s="35" t="n">
        <f aca="false">IF(Y11&gt;=10000,Assumptions!B170,IF(Y11&gt;=5000,Assumptions!B169,IF(Y11&gt;=2000,Assumptions!B168,IF(Y11&gt;=500,Assumptions!B167,0))))</f>
        <v>0</v>
      </c>
    </row>
    <row r="12" customFormat="false" ht="15" hidden="false" customHeight="false" outlineLevel="0" collapsed="false">
      <c r="A12" s="26" t="n">
        <v>7</v>
      </c>
      <c r="B12" s="27" t="n">
        <f aca="false">B11*(1+Assumptions!B33)</f>
        <v>985.448954548224</v>
      </c>
      <c r="C12" s="28" t="n">
        <f aca="false">ROUND(AB12*Assumptions!B25,0)</f>
        <v>20</v>
      </c>
      <c r="D12" s="28" t="n">
        <f aca="false">ROUND(AB12*Assumptions!B22,0)</f>
        <v>2</v>
      </c>
      <c r="E12" s="28" t="n">
        <f aca="false">E11+D12-F12</f>
        <v>8</v>
      </c>
      <c r="F12" s="28" t="n">
        <f aca="false">ROUND(E11*Assumptions!B43,0)</f>
        <v>0</v>
      </c>
      <c r="G12" s="28" t="n">
        <f aca="false">D12-F12</f>
        <v>2</v>
      </c>
      <c r="H12" s="29" t="n">
        <f aca="false">ROUND(E12*Assumptions!B14,0)</f>
        <v>64</v>
      </c>
      <c r="I12" s="29" t="n">
        <f aca="false">H12</f>
        <v>64</v>
      </c>
      <c r="J12" s="28" t="n">
        <f aca="false">ROUND(E12*Assumptions!B68,0)</f>
        <v>28</v>
      </c>
      <c r="K12" s="29" t="n">
        <f aca="false">ROUND(J12*Assumptions!B65,0)</f>
        <v>2</v>
      </c>
      <c r="L12" s="29" t="n">
        <f aca="false">Assumptions!B70+IF(E12&gt;Assumptions!B72,45,0)</f>
        <v>31</v>
      </c>
      <c r="M12" s="29" t="n">
        <f aca="false">Assumptions!B76+Assumptions!B77</f>
        <v>35</v>
      </c>
      <c r="N12" s="29" t="n">
        <f aca="false">Assumptions!B81+Assumptions!B82+Assumptions!B87/12+Assumptions!B148</f>
        <v>116</v>
      </c>
      <c r="O12" s="29" t="n">
        <f aca="false">ROUND(I12*Assumptions!B85+E12*Assumptions!B86+W12*Assumptions!B85+ROUND(AB12*Assumptions!B137*Assumptions!B138*Assumptions!B139,0)*Assumptions!B86,0)</f>
        <v>6</v>
      </c>
      <c r="P12" s="29" t="n">
        <f aca="false">K12+L12+M12+N12+O12+X12</f>
        <v>196</v>
      </c>
      <c r="Q12" s="29" t="n">
        <f aca="false">I12-P12</f>
        <v>-132</v>
      </c>
      <c r="R12" s="29" t="n">
        <f aca="false">ROUND(AB12*Assumptions!B51*Assumptions!B52,0)</f>
        <v>354</v>
      </c>
      <c r="S12" s="30" t="n">
        <f aca="false">I12+R12+W12+AC12+AD12</f>
        <v>457</v>
      </c>
      <c r="T12" s="29" t="n">
        <f aca="false">IF(U12&lt;P12*3,0,IF(U12&lt;P12*6,ROUND((Q12+R12+W12+AC12+AD12)*0.75*Assumptions!B113,0),ROUND((Q12+R12+W12+AC12+AD12)*0.75*Assumptions!B114,0)))</f>
        <v>0</v>
      </c>
      <c r="U12" s="30" t="n">
        <f aca="false">U11+Q12+R12+W12+AC12+AD12</f>
        <v>-2842</v>
      </c>
      <c r="V12" s="31" t="str">
        <f aca="false">IF(AB12&gt;=Assumptions!B107,"Signal 6",IF(AB12&gt;=Assumptions!B106,"Signal 5",IF(AB12&gt;=Assumptions!B105,"Signal 4",IF(AB12&gt;=Assumptions!B104,"Signal 3",IF(AB12&gt;=Assumptions!B103,"Signal 2",IF(AB12&gt;=Assumptions!B102,"Signal 1","Pre-Signal 1"))))))</f>
        <v>Pre-Signal 1</v>
      </c>
      <c r="W12" s="29" t="n">
        <f aca="false">ROUND(AB12*Assumptions!B137*Assumptions!B138*Assumptions!B139*Assumptions!B136,0)</f>
        <v>39</v>
      </c>
      <c r="X12" s="29" t="n">
        <f aca="false">ROUND(AB12*Assumptions!B137*Assumptions!B65,0)</f>
        <v>6</v>
      </c>
      <c r="Y12" s="32" t="n">
        <f aca="false">ROUND(Y11*(1+Assumptions!B164),0)</f>
        <v>143</v>
      </c>
      <c r="Z12" s="33" t="n">
        <f aca="false">Assumptions!B154</f>
        <v>25</v>
      </c>
      <c r="AA12" s="32" t="n">
        <f aca="false">ROUND(Y12*Assumptions!B166,0)</f>
        <v>0</v>
      </c>
      <c r="AB12" s="34" t="n">
        <f aca="false">B12+Z12+AA12</f>
        <v>1010.44895454822</v>
      </c>
      <c r="AC12" s="35" t="n">
        <f aca="false">ROUND(IF(A12&gt;=Assumptions!B144,(IF(A12&gt;=25,Assumptions!B151,IF(A12&gt;=16,Assumptions!B150,Assumptions!B149))/1000*Assumptions!B146)+IF(A12&gt;=Assumptions!B145,(IF(A12&gt;=25,Assumptions!B151,IF(A12&gt;=16,Assumptions!B150,Assumptions!B149))*Assumptions!B152/1000*Assumptions!B147),0),0),0)</f>
        <v>0</v>
      </c>
      <c r="AD12" s="35" t="n">
        <f aca="false">IF(Y12&gt;=10000,Assumptions!B170,IF(Y12&gt;=5000,Assumptions!B169,IF(Y12&gt;=2000,Assumptions!B168,IF(Y12&gt;=500,Assumptions!B167,0))))</f>
        <v>0</v>
      </c>
    </row>
    <row r="13" customFormat="false" ht="15" hidden="false" customHeight="false" outlineLevel="0" collapsed="false">
      <c r="A13" s="36" t="n">
        <v>8</v>
      </c>
      <c r="B13" s="37" t="n">
        <f aca="false">B12*(1+Assumptions!B33)</f>
        <v>1064.28487091208</v>
      </c>
      <c r="C13" s="38" t="n">
        <f aca="false">ROUND(AB13*Assumptions!B25,0)</f>
        <v>22</v>
      </c>
      <c r="D13" s="38" t="n">
        <f aca="false">ROUND(AB13*Assumptions!B22,0)</f>
        <v>2</v>
      </c>
      <c r="E13" s="38" t="n">
        <f aca="false">E12+D13-F13</f>
        <v>9</v>
      </c>
      <c r="F13" s="38" t="n">
        <f aca="false">ROUND(E12*Assumptions!B43,0)</f>
        <v>1</v>
      </c>
      <c r="G13" s="38" t="n">
        <f aca="false">D13-F13</f>
        <v>1</v>
      </c>
      <c r="H13" s="39" t="n">
        <f aca="false">ROUND(E13*Assumptions!B14,0)</f>
        <v>72</v>
      </c>
      <c r="I13" s="39" t="n">
        <f aca="false">H13</f>
        <v>72</v>
      </c>
      <c r="J13" s="38" t="n">
        <f aca="false">ROUND(E13*Assumptions!B68,0)</f>
        <v>32</v>
      </c>
      <c r="K13" s="39" t="n">
        <f aca="false">ROUND(J13*Assumptions!B65,0)</f>
        <v>3</v>
      </c>
      <c r="L13" s="39" t="n">
        <f aca="false">Assumptions!B70+IF(E13&gt;Assumptions!B72,45,0)</f>
        <v>31</v>
      </c>
      <c r="M13" s="39" t="n">
        <f aca="false">Assumptions!B76+Assumptions!B77</f>
        <v>35</v>
      </c>
      <c r="N13" s="39" t="n">
        <f aca="false">Assumptions!B81+Assumptions!B82+Assumptions!B87/12+Assumptions!B148</f>
        <v>116</v>
      </c>
      <c r="O13" s="39" t="n">
        <f aca="false">ROUND(I13*Assumptions!B85+E13*Assumptions!B86+W13*Assumptions!B85+ROUND(AB13*Assumptions!B137*Assumptions!B138*Assumptions!B139,0)*Assumptions!B86,0)</f>
        <v>7</v>
      </c>
      <c r="P13" s="39" t="n">
        <f aca="false">K13+L13+M13+N13+O13+X13</f>
        <v>199</v>
      </c>
      <c r="Q13" s="39" t="n">
        <f aca="false">I13-P13</f>
        <v>-127</v>
      </c>
      <c r="R13" s="39" t="n">
        <f aca="false">ROUND(AB13*Assumptions!B51*Assumptions!B52,0)</f>
        <v>381</v>
      </c>
      <c r="S13" s="40" t="n">
        <f aca="false">I13+R13+W13+AC13+AD13</f>
        <v>495</v>
      </c>
      <c r="T13" s="39" t="n">
        <f aca="false">IF(U13&lt;P13*3,0,IF(U13&lt;P13*6,ROUND((Q13+R13+W13+AC13+AD13)*0.75*Assumptions!B113,0),ROUND((Q13+R13+W13+AC13+AD13)*0.75*Assumptions!B114,0)))</f>
        <v>0</v>
      </c>
      <c r="U13" s="40" t="n">
        <f aca="false">U12+Q13+R13+W13+AC13+AD13</f>
        <v>-2546</v>
      </c>
      <c r="V13" s="41" t="str">
        <f aca="false">IF(AB13&gt;=Assumptions!B107,"Signal 6",IF(AB13&gt;=Assumptions!B106,"Signal 5",IF(AB13&gt;=Assumptions!B105,"Signal 4",IF(AB13&gt;=Assumptions!B104,"Signal 3",IF(AB13&gt;=Assumptions!B103,"Signal 2",IF(AB13&gt;=Assumptions!B102,"Signal 1","Pre-Signal 1"))))))</f>
        <v>Pre-Signal 1</v>
      </c>
      <c r="W13" s="39" t="n">
        <f aca="false">ROUND(AB13*Assumptions!B137*Assumptions!B138*Assumptions!B139*Assumptions!B136,0)</f>
        <v>42</v>
      </c>
      <c r="X13" s="39" t="n">
        <f aca="false">ROUND(AB13*Assumptions!B137*Assumptions!B65,0)</f>
        <v>7</v>
      </c>
      <c r="Y13" s="32" t="n">
        <f aca="false">ROUND(Y12*(1+Assumptions!B164),0)</f>
        <v>164</v>
      </c>
      <c r="Z13" s="33" t="n">
        <f aca="false">Assumptions!B154</f>
        <v>25</v>
      </c>
      <c r="AA13" s="32" t="n">
        <f aca="false">ROUND(Y13*Assumptions!B166,0)</f>
        <v>0</v>
      </c>
      <c r="AB13" s="34" t="n">
        <f aca="false">B13+Z13+AA13</f>
        <v>1089.28487091208</v>
      </c>
      <c r="AC13" s="35" t="n">
        <f aca="false">ROUND(IF(A13&gt;=Assumptions!B144,(IF(A13&gt;=25,Assumptions!B151,IF(A13&gt;=16,Assumptions!B150,Assumptions!B149))/1000*Assumptions!B146)+IF(A13&gt;=Assumptions!B145,(IF(A13&gt;=25,Assumptions!B151,IF(A13&gt;=16,Assumptions!B150,Assumptions!B149))*Assumptions!B152/1000*Assumptions!B147),0),0),0)</f>
        <v>0</v>
      </c>
      <c r="AD13" s="35" t="n">
        <f aca="false">IF(Y13&gt;=10000,Assumptions!B170,IF(Y13&gt;=5000,Assumptions!B169,IF(Y13&gt;=2000,Assumptions!B168,IF(Y13&gt;=500,Assumptions!B167,0))))</f>
        <v>0</v>
      </c>
    </row>
    <row r="14" customFormat="false" ht="15" hidden="false" customHeight="false" outlineLevel="0" collapsed="false">
      <c r="A14" s="26" t="n">
        <v>9</v>
      </c>
      <c r="B14" s="27" t="n">
        <f aca="false">B13*(1+Assumptions!B33)</f>
        <v>1149.42766058505</v>
      </c>
      <c r="C14" s="28" t="n">
        <f aca="false">ROUND(AB14*Assumptions!B25,0)</f>
        <v>24</v>
      </c>
      <c r="D14" s="28" t="n">
        <f aca="false">ROUND(AB14*Assumptions!B22,0)</f>
        <v>2</v>
      </c>
      <c r="E14" s="28" t="n">
        <f aca="false">E13+D14-F14</f>
        <v>10</v>
      </c>
      <c r="F14" s="28" t="n">
        <f aca="false">ROUND(E13*Assumptions!B43,0)</f>
        <v>1</v>
      </c>
      <c r="G14" s="28" t="n">
        <f aca="false">D14-F14</f>
        <v>1</v>
      </c>
      <c r="H14" s="29" t="n">
        <f aca="false">ROUND(E14*((Assumptions!B14+Assumptions!B15)/2),0)</f>
        <v>105</v>
      </c>
      <c r="I14" s="29" t="n">
        <f aca="false">H14</f>
        <v>105</v>
      </c>
      <c r="J14" s="28" t="n">
        <f aca="false">ROUND(E14*Assumptions!B68,0)</f>
        <v>35</v>
      </c>
      <c r="K14" s="29" t="n">
        <f aca="false">ROUND(J14*Assumptions!B65,0)</f>
        <v>3</v>
      </c>
      <c r="L14" s="29" t="n">
        <f aca="false">Assumptions!B70+IF(E14&gt;Assumptions!B72,45,0)</f>
        <v>31</v>
      </c>
      <c r="M14" s="29" t="n">
        <f aca="false">Assumptions!B76+Assumptions!B77</f>
        <v>35</v>
      </c>
      <c r="N14" s="29" t="n">
        <f aca="false">Assumptions!B81+Assumptions!B82+Assumptions!B87/12+Assumptions!B148</f>
        <v>116</v>
      </c>
      <c r="O14" s="29" t="n">
        <f aca="false">ROUND(I14*Assumptions!B85+E14*Assumptions!B86+W14*Assumptions!B85+ROUND(AB14*Assumptions!B137*Assumptions!B138*Assumptions!B139,0)*Assumptions!B86,0)</f>
        <v>9</v>
      </c>
      <c r="P14" s="29" t="n">
        <f aca="false">K14+L14+M14+N14+O14+X14</f>
        <v>202</v>
      </c>
      <c r="Q14" s="29" t="n">
        <f aca="false">I14-P14</f>
        <v>-97</v>
      </c>
      <c r="R14" s="29" t="n">
        <f aca="false">ROUND(AB14*Assumptions!B51*Assumptions!B52,0)</f>
        <v>424</v>
      </c>
      <c r="S14" s="30" t="n">
        <f aca="false">I14+R14+W14+AC14+AD14</f>
        <v>576</v>
      </c>
      <c r="T14" s="29" t="n">
        <f aca="false">IF(U14&lt;P14*3,0,IF(U14&lt;P14*6,ROUND((Q14+R14+W14+AC14+AD14)*0.75*Assumptions!B113,0),ROUND((Q14+R14+W14+AC14+AD14)*0.75*Assumptions!B114,0)))</f>
        <v>0</v>
      </c>
      <c r="U14" s="30" t="n">
        <f aca="false">U13+Q14+R14+W14+AC14+AD14</f>
        <v>-2172</v>
      </c>
      <c r="V14" s="31" t="str">
        <f aca="false">IF(AB14&gt;=Assumptions!B107,"Signal 6",IF(AB14&gt;=Assumptions!B106,"Signal 5",IF(AB14&gt;=Assumptions!B105,"Signal 4",IF(AB14&gt;=Assumptions!B104,"Signal 3",IF(AB14&gt;=Assumptions!B103,"Signal 2",IF(AB14&gt;=Assumptions!B102,"Signal 1","Pre-Signal 1"))))))</f>
        <v>Pre-Signal 1</v>
      </c>
      <c r="W14" s="29" t="n">
        <f aca="false">ROUND(AB14*Assumptions!B137*Assumptions!B138*Assumptions!B139*Assumptions!B136,0)</f>
        <v>47</v>
      </c>
      <c r="X14" s="29" t="n">
        <f aca="false">ROUND(AB14*Assumptions!B137*Assumptions!B65,0)</f>
        <v>8</v>
      </c>
      <c r="Y14" s="32" t="n">
        <f aca="false">ROUND(Y13*(1+Assumptions!B164),0)</f>
        <v>189</v>
      </c>
      <c r="Z14" s="33" t="n">
        <f aca="false">Assumptions!B155</f>
        <v>60</v>
      </c>
      <c r="AA14" s="32" t="n">
        <f aca="false">ROUND(Y14*Assumptions!B166,0)</f>
        <v>1</v>
      </c>
      <c r="AB14" s="34" t="n">
        <f aca="false">B14+Z14+AA14</f>
        <v>1210.42766058505</v>
      </c>
      <c r="AC14" s="35" t="n">
        <f aca="false">ROUND(IF(A14&gt;=Assumptions!B144,(IF(A14&gt;=25,Assumptions!B151,IF(A14&gt;=16,Assumptions!B150,Assumptions!B149))/1000*Assumptions!B146)+IF(A14&gt;=Assumptions!B145,(IF(A14&gt;=25,Assumptions!B151,IF(A14&gt;=16,Assumptions!B150,Assumptions!B149))*Assumptions!B152/1000*Assumptions!B147),0),0),0)</f>
        <v>0</v>
      </c>
      <c r="AD14" s="35" t="n">
        <f aca="false">IF(Y14&gt;=10000,Assumptions!B170,IF(Y14&gt;=5000,Assumptions!B169,IF(Y14&gt;=2000,Assumptions!B168,IF(Y14&gt;=500,Assumptions!B167,0))))</f>
        <v>0</v>
      </c>
    </row>
    <row r="15" customFormat="false" ht="15" hidden="false" customHeight="false" outlineLevel="0" collapsed="false">
      <c r="A15" s="36" t="n">
        <v>10</v>
      </c>
      <c r="B15" s="37" t="n">
        <f aca="false">B14*(1+Assumptions!B33)</f>
        <v>1241.38187343185</v>
      </c>
      <c r="C15" s="38" t="n">
        <f aca="false">ROUND(AB15*Assumptions!B25,0)</f>
        <v>26</v>
      </c>
      <c r="D15" s="38" t="n">
        <f aca="false">ROUND(AB15*Assumptions!B22,0)</f>
        <v>2</v>
      </c>
      <c r="E15" s="38" t="n">
        <f aca="false">E14+D15-F15</f>
        <v>11</v>
      </c>
      <c r="F15" s="38" t="n">
        <f aca="false">ROUND(E14*Assumptions!B43,0)</f>
        <v>1</v>
      </c>
      <c r="G15" s="38" t="n">
        <f aca="false">D15-F15</f>
        <v>1</v>
      </c>
      <c r="H15" s="39" t="n">
        <f aca="false">ROUND(E15*(Assumptions!B15*0.85+Assumptions!B11*0.15),0)</f>
        <v>126</v>
      </c>
      <c r="I15" s="39" t="n">
        <f aca="false">H15</f>
        <v>126</v>
      </c>
      <c r="J15" s="38" t="n">
        <f aca="false">ROUND(E15*Assumptions!B68,0)</f>
        <v>39</v>
      </c>
      <c r="K15" s="39" t="n">
        <f aca="false">ROUND(J15*Assumptions!B65,0)</f>
        <v>3</v>
      </c>
      <c r="L15" s="39" t="n">
        <f aca="false">Assumptions!B70+IF(E15&gt;Assumptions!B72,45,0)</f>
        <v>31</v>
      </c>
      <c r="M15" s="39" t="n">
        <f aca="false">Assumptions!B76+Assumptions!B77</f>
        <v>35</v>
      </c>
      <c r="N15" s="39" t="n">
        <f aca="false">Assumptions!B81+Assumptions!B82+Assumptions!B87/12+Assumptions!B148</f>
        <v>116</v>
      </c>
      <c r="O15" s="39" t="n">
        <f aca="false">ROUND(I15*Assumptions!B85+E15*Assumptions!B86+W15*Assumptions!B85+ROUND(AB15*Assumptions!B137*Assumptions!B138*Assumptions!B139,0)*Assumptions!B86,0)</f>
        <v>10</v>
      </c>
      <c r="P15" s="39" t="n">
        <f aca="false">K15+L15+M15+N15+O15+X15</f>
        <v>203</v>
      </c>
      <c r="Q15" s="39" t="n">
        <f aca="false">I15-P15</f>
        <v>-77</v>
      </c>
      <c r="R15" s="39" t="n">
        <f aca="false">ROUND(AB15*Assumptions!B51*Assumptions!B52,0)</f>
        <v>456</v>
      </c>
      <c r="S15" s="40" t="n">
        <f aca="false">I15+R15+W15+AC15+AD15</f>
        <v>633</v>
      </c>
      <c r="T15" s="39" t="n">
        <f aca="false">IF(U15&lt;P15*3,0,IF(U15&lt;P15*6,ROUND((Q15+R15+W15+AC15+AD15)*0.75*Assumptions!B113,0),ROUND((Q15+R15+W15+AC15+AD15)*0.75*Assumptions!B114,0)))</f>
        <v>0</v>
      </c>
      <c r="U15" s="40" t="n">
        <f aca="false">U14+Q15+R15+W15+AC15+AD15</f>
        <v>-1742</v>
      </c>
      <c r="V15" s="41" t="str">
        <f aca="false">IF(AB15&gt;=Assumptions!B107,"Signal 6",IF(AB15&gt;=Assumptions!B106,"Signal 5",IF(AB15&gt;=Assumptions!B105,"Signal 4",IF(AB15&gt;=Assumptions!B104,"Signal 3",IF(AB15&gt;=Assumptions!B103,"Signal 2",IF(AB15&gt;=Assumptions!B102,"Signal 1","Pre-Signal 1"))))))</f>
        <v>Pre-Signal 1</v>
      </c>
      <c r="W15" s="39" t="n">
        <f aca="false">ROUND(AB15*Assumptions!B137*Assumptions!B138*Assumptions!B139*Assumptions!B136,0)</f>
        <v>51</v>
      </c>
      <c r="X15" s="39" t="n">
        <f aca="false">ROUND(AB15*Assumptions!B137*Assumptions!B65,0)</f>
        <v>8</v>
      </c>
      <c r="Y15" s="32" t="n">
        <f aca="false">ROUND(Y14*(1+Assumptions!B164),0)</f>
        <v>217</v>
      </c>
      <c r="Z15" s="33" t="n">
        <f aca="false">Assumptions!B155</f>
        <v>60</v>
      </c>
      <c r="AA15" s="32" t="n">
        <f aca="false">ROUND(Y15*Assumptions!B166,0)</f>
        <v>1</v>
      </c>
      <c r="AB15" s="34" t="n">
        <f aca="false">B15+Z15+AA15</f>
        <v>1302.38187343185</v>
      </c>
      <c r="AC15" s="35" t="n">
        <f aca="false">ROUND(IF(A15&gt;=Assumptions!B144,(IF(A15&gt;=25,Assumptions!B151,IF(A15&gt;=16,Assumptions!B150,Assumptions!B149))/1000*Assumptions!B146)+IF(A15&gt;=Assumptions!B145,(IF(A15&gt;=25,Assumptions!B151,IF(A15&gt;=16,Assumptions!B150,Assumptions!B149))*Assumptions!B152/1000*Assumptions!B147),0),0),0)</f>
        <v>0</v>
      </c>
      <c r="AD15" s="35" t="n">
        <f aca="false">IF(Y15&gt;=10000,Assumptions!B170,IF(Y15&gt;=5000,Assumptions!B169,IF(Y15&gt;=2000,Assumptions!B168,IF(Y15&gt;=500,Assumptions!B167,0))))</f>
        <v>0</v>
      </c>
    </row>
    <row r="16" customFormat="false" ht="15" hidden="false" customHeight="false" outlineLevel="0" collapsed="false">
      <c r="A16" s="26" t="n">
        <v>11</v>
      </c>
      <c r="B16" s="27" t="n">
        <f aca="false">B15*(1+Assumptions!B33)</f>
        <v>1340.6924233064</v>
      </c>
      <c r="C16" s="28" t="n">
        <f aca="false">ROUND(AB16*Assumptions!B25,0)</f>
        <v>28</v>
      </c>
      <c r="D16" s="28" t="n">
        <f aca="false">ROUND(AB16*Assumptions!B22,0)</f>
        <v>2</v>
      </c>
      <c r="E16" s="28" t="n">
        <f aca="false">E15+D16-F16</f>
        <v>12</v>
      </c>
      <c r="F16" s="28" t="n">
        <f aca="false">ROUND(E15*Assumptions!B43,0)</f>
        <v>1</v>
      </c>
      <c r="G16" s="28" t="n">
        <f aca="false">D16-F16</f>
        <v>1</v>
      </c>
      <c r="H16" s="29" t="n">
        <f aca="false">ROUND(E16*(Assumptions!B15*0.85+Assumptions!B11*0.15),0)</f>
        <v>138</v>
      </c>
      <c r="I16" s="29" t="n">
        <f aca="false">H16</f>
        <v>138</v>
      </c>
      <c r="J16" s="28" t="n">
        <f aca="false">ROUND(E16*Assumptions!B68,0)</f>
        <v>42</v>
      </c>
      <c r="K16" s="29" t="n">
        <f aca="false">ROUND(J16*Assumptions!B65,0)</f>
        <v>3</v>
      </c>
      <c r="L16" s="29" t="n">
        <f aca="false">Assumptions!B70+IF(E16&gt;Assumptions!B72,45,0)</f>
        <v>31</v>
      </c>
      <c r="M16" s="29" t="n">
        <f aca="false">Assumptions!B76+Assumptions!B77</f>
        <v>35</v>
      </c>
      <c r="N16" s="29" t="n">
        <f aca="false">Assumptions!B81+Assumptions!B82+Assumptions!B87/12+Assumptions!B148</f>
        <v>116</v>
      </c>
      <c r="O16" s="29" t="n">
        <f aca="false">ROUND(I16*Assumptions!B85+E16*Assumptions!B86+W16*Assumptions!B85+ROUND(AB16*Assumptions!B137*Assumptions!B138*Assumptions!B139,0)*Assumptions!B86,0)</f>
        <v>10</v>
      </c>
      <c r="P16" s="29" t="n">
        <f aca="false">K16+L16+M16+N16+O16+X16</f>
        <v>204</v>
      </c>
      <c r="Q16" s="29" t="n">
        <f aca="false">I16-P16</f>
        <v>-66</v>
      </c>
      <c r="R16" s="29" t="n">
        <f aca="false">ROUND(AB16*Assumptions!B51*Assumptions!B52,0)</f>
        <v>491</v>
      </c>
      <c r="S16" s="30" t="n">
        <f aca="false">I16+R16+W16+AC16+AD16</f>
        <v>684</v>
      </c>
      <c r="T16" s="29" t="n">
        <f aca="false">IF(U16&lt;P16*3,0,IF(U16&lt;P16*6,ROUND((Q16+R16+W16+AC16+AD16)*0.75*Assumptions!B113,0),ROUND((Q16+R16+W16+AC16+AD16)*0.75*Assumptions!B114,0)))</f>
        <v>0</v>
      </c>
      <c r="U16" s="30" t="n">
        <f aca="false">U15+Q16+R16+W16+AC16+AD16</f>
        <v>-1262</v>
      </c>
      <c r="V16" s="31" t="str">
        <f aca="false">IF(AB16&gt;=Assumptions!B107,"Signal 6",IF(AB16&gt;=Assumptions!B106,"Signal 5",IF(AB16&gt;=Assumptions!B105,"Signal 4",IF(AB16&gt;=Assumptions!B104,"Signal 3",IF(AB16&gt;=Assumptions!B103,"Signal 2",IF(AB16&gt;=Assumptions!B102,"Signal 1","Pre-Signal 1"))))))</f>
        <v>Pre-Signal 1</v>
      </c>
      <c r="W16" s="29" t="n">
        <f aca="false">ROUND(AB16*Assumptions!B137*Assumptions!B138*Assumptions!B139*Assumptions!B136,0)</f>
        <v>55</v>
      </c>
      <c r="X16" s="29" t="n">
        <f aca="false">ROUND(AB16*Assumptions!B137*Assumptions!B65,0)</f>
        <v>9</v>
      </c>
      <c r="Y16" s="32" t="n">
        <f aca="false">ROUND(Y15*(1+Assumptions!B164),0)</f>
        <v>250</v>
      </c>
      <c r="Z16" s="33" t="n">
        <f aca="false">Assumptions!B155</f>
        <v>60</v>
      </c>
      <c r="AA16" s="32" t="n">
        <f aca="false">ROUND(Y16*Assumptions!B166,0)</f>
        <v>1</v>
      </c>
      <c r="AB16" s="34" t="n">
        <f aca="false">B16+Z16+AA16</f>
        <v>1401.6924233064</v>
      </c>
      <c r="AC16" s="35" t="n">
        <f aca="false">ROUND(IF(A16&gt;=Assumptions!B144,(IF(A16&gt;=25,Assumptions!B151,IF(A16&gt;=16,Assumptions!B150,Assumptions!B149))/1000*Assumptions!B146)+IF(A16&gt;=Assumptions!B145,(IF(A16&gt;=25,Assumptions!B151,IF(A16&gt;=16,Assumptions!B150,Assumptions!B149))*Assumptions!B152/1000*Assumptions!B147),0),0),0)</f>
        <v>0</v>
      </c>
      <c r="AD16" s="35" t="n">
        <f aca="false">IF(Y16&gt;=10000,Assumptions!B170,IF(Y16&gt;=5000,Assumptions!B169,IF(Y16&gt;=2000,Assumptions!B168,IF(Y16&gt;=500,Assumptions!B167,0))))</f>
        <v>0</v>
      </c>
    </row>
    <row r="17" customFormat="false" ht="15" hidden="false" customHeight="false" outlineLevel="0" collapsed="false">
      <c r="A17" s="36" t="n">
        <v>12</v>
      </c>
      <c r="B17" s="37" t="n">
        <f aca="false">B16*(1+Assumptions!B33)</f>
        <v>1447.94781717091</v>
      </c>
      <c r="C17" s="38" t="n">
        <f aca="false">ROUND(AB17*Assumptions!B25,0)</f>
        <v>31</v>
      </c>
      <c r="D17" s="38" t="n">
        <f aca="false">ROUND(AB17*Assumptions!B22,0)</f>
        <v>2</v>
      </c>
      <c r="E17" s="38" t="n">
        <f aca="false">E16+D17-F17</f>
        <v>13</v>
      </c>
      <c r="F17" s="38" t="n">
        <f aca="false">ROUND(E16*Assumptions!B43,0)</f>
        <v>1</v>
      </c>
      <c r="G17" s="38" t="n">
        <f aca="false">D17-F17</f>
        <v>1</v>
      </c>
      <c r="H17" s="39" t="n">
        <f aca="false">ROUND(E17*(Assumptions!B15*0.85+Assumptions!B11*0.15),0)</f>
        <v>149</v>
      </c>
      <c r="I17" s="39" t="n">
        <f aca="false">H17</f>
        <v>149</v>
      </c>
      <c r="J17" s="38" t="n">
        <f aca="false">ROUND(E17*Assumptions!B68,0)</f>
        <v>46</v>
      </c>
      <c r="K17" s="39" t="n">
        <f aca="false">ROUND(J17*Assumptions!B65,0)</f>
        <v>4</v>
      </c>
      <c r="L17" s="39" t="n">
        <f aca="false">Assumptions!B70+IF(E17&gt;Assumptions!B72,45,0)</f>
        <v>31</v>
      </c>
      <c r="M17" s="39" t="n">
        <f aca="false">Assumptions!B76+Assumptions!B77</f>
        <v>35</v>
      </c>
      <c r="N17" s="39" t="n">
        <f aca="false">Assumptions!B81+Assumptions!B82+Assumptions!B87/12+Assumptions!B148</f>
        <v>116</v>
      </c>
      <c r="O17" s="39" t="n">
        <f aca="false">ROUND(I17*Assumptions!B85+E17*Assumptions!B86+W17*Assumptions!B85+ROUND(AB17*Assumptions!B137*Assumptions!B138*Assumptions!B139,0)*Assumptions!B86,0)</f>
        <v>11</v>
      </c>
      <c r="P17" s="39" t="n">
        <f aca="false">K17+L17+M17+N17+O17+X17</f>
        <v>207</v>
      </c>
      <c r="Q17" s="39" t="n">
        <f aca="false">I17-P17</f>
        <v>-58</v>
      </c>
      <c r="R17" s="39" t="n">
        <f aca="false">ROUND(AB17*Assumptions!B51*Assumptions!B52,0)</f>
        <v>551</v>
      </c>
      <c r="S17" s="40" t="n">
        <f aca="false">I17+R17+W17+AC17+AD17</f>
        <v>777</v>
      </c>
      <c r="T17" s="39" t="n">
        <f aca="false">IF(U17&lt;P17*3,0,IF(U17&lt;P17*6,ROUND((Q17+R17+W17+AC17+AD17)*0.75*Assumptions!B113,0),ROUND((Q17+R17+W17+AC17+AD17)*0.75*Assumptions!B114,0)))</f>
        <v>0</v>
      </c>
      <c r="U17" s="40" t="n">
        <f aca="false">U16+Q17+R17+W17+AC17+AD17</f>
        <v>-692</v>
      </c>
      <c r="V17" s="41" t="str">
        <f aca="false">IF(AB17&gt;=Assumptions!B107,"Signal 6",IF(AB17&gt;=Assumptions!B106,"Signal 5",IF(AB17&gt;=Assumptions!B105,"Signal 4",IF(AB17&gt;=Assumptions!B104,"Signal 3",IF(AB17&gt;=Assumptions!B103,"Signal 2",IF(AB17&gt;=Assumptions!B102,"Signal 1","Pre-Signal 1"))))))</f>
        <v>Pre-Signal 1</v>
      </c>
      <c r="W17" s="39" t="n">
        <f aca="false">ROUND(AB17*Assumptions!B137*Assumptions!B138*Assumptions!B139*Assumptions!B136,0)</f>
        <v>61</v>
      </c>
      <c r="X17" s="39" t="n">
        <f aca="false">ROUND(AB17*Assumptions!B137*Assumptions!B65,0)</f>
        <v>10</v>
      </c>
      <c r="Y17" s="32" t="n">
        <f aca="false">ROUND(Y16*(1+Assumptions!B164),0)</f>
        <v>288</v>
      </c>
      <c r="Z17" s="33" t="n">
        <f aca="false">Assumptions!B156</f>
        <v>125</v>
      </c>
      <c r="AA17" s="32" t="n">
        <f aca="false">ROUND(Y17*Assumptions!B166,0)</f>
        <v>1</v>
      </c>
      <c r="AB17" s="34" t="n">
        <f aca="false">B17+Z17+AA17</f>
        <v>1573.94781717091</v>
      </c>
      <c r="AC17" s="35" t="n">
        <f aca="false">ROUND(IF(A17&gt;=Assumptions!B144,(IF(A17&gt;=25,Assumptions!B151,IF(A17&gt;=16,Assumptions!B150,Assumptions!B149))/1000*Assumptions!B146)+IF(A17&gt;=Assumptions!B145,(IF(A17&gt;=25,Assumptions!B151,IF(A17&gt;=16,Assumptions!B150,Assumptions!B149))*Assumptions!B152/1000*Assumptions!B147),0),0),0)</f>
        <v>16</v>
      </c>
      <c r="AD17" s="35" t="n">
        <f aca="false">IF(Y17&gt;=10000,Assumptions!B170,IF(Y17&gt;=5000,Assumptions!B169,IF(Y17&gt;=2000,Assumptions!B168,IF(Y17&gt;=500,Assumptions!B167,0))))</f>
        <v>0</v>
      </c>
    </row>
    <row r="18" customFormat="false" ht="15" hidden="false" customHeight="false" outlineLevel="0" collapsed="false">
      <c r="A18" s="26" t="n">
        <v>13</v>
      </c>
      <c r="B18" s="27" t="n">
        <f aca="false">B17*(1+Assumptions!B33)</f>
        <v>1563.78364254459</v>
      </c>
      <c r="C18" s="28" t="n">
        <f aca="false">ROUND(AB18*Assumptions!B25,0)</f>
        <v>34</v>
      </c>
      <c r="D18" s="28" t="n">
        <f aca="false">ROUND(AB18*Assumptions!B22,0)</f>
        <v>3</v>
      </c>
      <c r="E18" s="28" t="n">
        <f aca="false">E17+D18-F18</f>
        <v>15</v>
      </c>
      <c r="F18" s="28" t="n">
        <f aca="false">ROUND(E17*Assumptions!B43,0)</f>
        <v>1</v>
      </c>
      <c r="G18" s="28" t="n">
        <f aca="false">D18-F18</f>
        <v>2</v>
      </c>
      <c r="H18" s="29" t="n">
        <f aca="false">ROUND(E18*(Assumptions!B15*0.85+Assumptions!B11*0.15),0)</f>
        <v>172</v>
      </c>
      <c r="I18" s="29" t="n">
        <f aca="false">H18</f>
        <v>172</v>
      </c>
      <c r="J18" s="28" t="n">
        <f aca="false">ROUND(E18*Assumptions!B68,0)</f>
        <v>53</v>
      </c>
      <c r="K18" s="29" t="n">
        <f aca="false">ROUND(J18*Assumptions!B65,0)</f>
        <v>4</v>
      </c>
      <c r="L18" s="29" t="n">
        <f aca="false">Assumptions!B70+IF(E18&gt;Assumptions!B72,45,0)</f>
        <v>31</v>
      </c>
      <c r="M18" s="29" t="n">
        <f aca="false">Assumptions!B76+Assumptions!B77</f>
        <v>35</v>
      </c>
      <c r="N18" s="29" t="n">
        <f aca="false">Assumptions!B81+Assumptions!B82+Assumptions!B87/12+Assumptions!B148</f>
        <v>116</v>
      </c>
      <c r="O18" s="29" t="n">
        <f aca="false">ROUND(I18*Assumptions!B85+E18*Assumptions!B86+W18*Assumptions!B85+ROUND(AB18*Assumptions!B137*Assumptions!B138*Assumptions!B139,0)*Assumptions!B86,0)</f>
        <v>13</v>
      </c>
      <c r="P18" s="29" t="n">
        <f aca="false">K18+L18+M18+N18+O18+X18</f>
        <v>210</v>
      </c>
      <c r="Q18" s="29" t="n">
        <f aca="false">I18-P18</f>
        <v>-38</v>
      </c>
      <c r="R18" s="29" t="n">
        <f aca="false">ROUND(AB18*Assumptions!B51*Assumptions!B52,0)</f>
        <v>591</v>
      </c>
      <c r="S18" s="30" t="n">
        <f aca="false">I18+R18+W18+AC18+AD18</f>
        <v>845</v>
      </c>
      <c r="T18" s="29" t="n">
        <f aca="false">IF(U18&lt;P18*3,0,IF(U18&lt;P18*6,ROUND((Q18+R18+W18+AC18+AD18)*0.75*Assumptions!B113,0),ROUND((Q18+R18+W18+AC18+AD18)*0.75*Assumptions!B114,0)))</f>
        <v>0</v>
      </c>
      <c r="U18" s="30" t="n">
        <f aca="false">U17+Q18+R18+W18+AC18+AD18</f>
        <v>-57</v>
      </c>
      <c r="V18" s="31" t="str">
        <f aca="false">IF(AB18&gt;=Assumptions!B107,"Signal 6",IF(AB18&gt;=Assumptions!B106,"Signal 5",IF(AB18&gt;=Assumptions!B105,"Signal 4",IF(AB18&gt;=Assumptions!B104,"Signal 3",IF(AB18&gt;=Assumptions!B103,"Signal 2",IF(AB18&gt;=Assumptions!B102,"Signal 1","Pre-Signal 1"))))))</f>
        <v>Pre-Signal 1</v>
      </c>
      <c r="W18" s="29" t="n">
        <f aca="false">ROUND(AB18*Assumptions!B137*Assumptions!B138*Assumptions!B139*Assumptions!B136,0)</f>
        <v>66</v>
      </c>
      <c r="X18" s="29" t="n">
        <f aca="false">ROUND(AB18*Assumptions!B137*Assumptions!B65,0)</f>
        <v>11</v>
      </c>
      <c r="Y18" s="32" t="n">
        <f aca="false">ROUND(Y17*(1+Assumptions!B165),0)</f>
        <v>317</v>
      </c>
      <c r="Z18" s="33" t="n">
        <f aca="false">Assumptions!B156</f>
        <v>125</v>
      </c>
      <c r="AA18" s="32" t="n">
        <f aca="false">ROUND(Y18*Assumptions!B166,0)</f>
        <v>1</v>
      </c>
      <c r="AB18" s="34" t="n">
        <f aca="false">B18+Z18+AA18</f>
        <v>1689.78364254459</v>
      </c>
      <c r="AC18" s="35" t="n">
        <f aca="false">ROUND(IF(A18&gt;=Assumptions!B144,(IF(A18&gt;=25,Assumptions!B151,IF(A18&gt;=16,Assumptions!B150,Assumptions!B149))/1000*Assumptions!B146)+IF(A18&gt;=Assumptions!B145,(IF(A18&gt;=25,Assumptions!B151,IF(A18&gt;=16,Assumptions!B150,Assumptions!B149))*Assumptions!B152/1000*Assumptions!B147),0),0),0)</f>
        <v>16</v>
      </c>
      <c r="AD18" s="35" t="n">
        <f aca="false">IF(Y18&gt;=10000,Assumptions!B170,IF(Y18&gt;=5000,Assumptions!B169,IF(Y18&gt;=2000,Assumptions!B168,IF(Y18&gt;=500,Assumptions!B167,0))))</f>
        <v>0</v>
      </c>
    </row>
    <row r="19" customFormat="false" ht="15" hidden="false" customHeight="false" outlineLevel="0" collapsed="false">
      <c r="A19" s="36" t="n">
        <v>14</v>
      </c>
      <c r="B19" s="37" t="n">
        <f aca="false">B18*(1+Assumptions!B33)</f>
        <v>1688.88633394815</v>
      </c>
      <c r="C19" s="38" t="n">
        <f aca="false">ROUND(AB19*Assumptions!B25,0)</f>
        <v>36</v>
      </c>
      <c r="D19" s="38" t="n">
        <f aca="false">ROUND(AB19*Assumptions!B22,0)</f>
        <v>3</v>
      </c>
      <c r="E19" s="38" t="n">
        <f aca="false">E18+D19-F19</f>
        <v>17</v>
      </c>
      <c r="F19" s="38" t="n">
        <f aca="false">ROUND(E18*Assumptions!B43,0)</f>
        <v>1</v>
      </c>
      <c r="G19" s="38" t="n">
        <f aca="false">D19-F19</f>
        <v>2</v>
      </c>
      <c r="H19" s="39" t="n">
        <f aca="false">ROUND(E19*(Assumptions!B15*0.85+Assumptions!B11*0.15),0)</f>
        <v>195</v>
      </c>
      <c r="I19" s="39" t="n">
        <f aca="false">H19</f>
        <v>195</v>
      </c>
      <c r="J19" s="38" t="n">
        <f aca="false">ROUND(E19*Assumptions!B68,0)</f>
        <v>60</v>
      </c>
      <c r="K19" s="39" t="n">
        <f aca="false">ROUND(J19*Assumptions!B65,0)</f>
        <v>5</v>
      </c>
      <c r="L19" s="39" t="n">
        <f aca="false">Assumptions!B70+IF(E19&gt;Assumptions!B72,45,0)</f>
        <v>31</v>
      </c>
      <c r="M19" s="39" t="n">
        <f aca="false">Assumptions!B76+Assumptions!B77</f>
        <v>35</v>
      </c>
      <c r="N19" s="39" t="n">
        <f aca="false">Assumptions!B81+Assumptions!B82+Assumptions!B87/12+Assumptions!B148</f>
        <v>116</v>
      </c>
      <c r="O19" s="39" t="n">
        <f aca="false">ROUND(I19*Assumptions!B85+E19*Assumptions!B86+W19*Assumptions!B85+ROUND(AB19*Assumptions!B137*Assumptions!B138*Assumptions!B139,0)*Assumptions!B86,0)</f>
        <v>14</v>
      </c>
      <c r="P19" s="39" t="n">
        <f aca="false">K19+L19+M19+N19+O19+X19</f>
        <v>213</v>
      </c>
      <c r="Q19" s="39" t="n">
        <f aca="false">I19-P19</f>
        <v>-18</v>
      </c>
      <c r="R19" s="39" t="n">
        <f aca="false">ROUND(AB19*Assumptions!B51*Assumptions!B52,0)</f>
        <v>635</v>
      </c>
      <c r="S19" s="40" t="n">
        <f aca="false">I19+R19+W19+AC19+AD19</f>
        <v>917</v>
      </c>
      <c r="T19" s="39" t="n">
        <f aca="false">IF(U19&lt;P19*3,0,IF(U19&lt;P19*6,ROUND((Q19+R19+W19+AC19+AD19)*0.75*Assumptions!B113,0),ROUND((Q19+R19+W19+AC19+AD19)*0.75*Assumptions!B114,0)))</f>
        <v>125</v>
      </c>
      <c r="U19" s="40" t="n">
        <f aca="false">U18+Q19+R19+W19+AC19+AD19</f>
        <v>647</v>
      </c>
      <c r="V19" s="41" t="str">
        <f aca="false">IF(AB19&gt;=Assumptions!B107,"Signal 6",IF(AB19&gt;=Assumptions!B106,"Signal 5",IF(AB19&gt;=Assumptions!B105,"Signal 4",IF(AB19&gt;=Assumptions!B104,"Signal 3",IF(AB19&gt;=Assumptions!B103,"Signal 2",IF(AB19&gt;=Assumptions!B102,"Signal 1","Pre-Signal 1"))))))</f>
        <v>Pre-Signal 1</v>
      </c>
      <c r="W19" s="39" t="n">
        <f aca="false">ROUND(AB19*Assumptions!B137*Assumptions!B138*Assumptions!B139*Assumptions!B136,0)</f>
        <v>71</v>
      </c>
      <c r="X19" s="39" t="n">
        <f aca="false">ROUND(AB19*Assumptions!B137*Assumptions!B65,0)</f>
        <v>12</v>
      </c>
      <c r="Y19" s="32" t="n">
        <f aca="false">ROUND(Y18*(1+Assumptions!B165),0)</f>
        <v>349</v>
      </c>
      <c r="Z19" s="33" t="n">
        <f aca="false">Assumptions!B156</f>
        <v>125</v>
      </c>
      <c r="AA19" s="32" t="n">
        <f aca="false">ROUND(Y19*Assumptions!B166,0)</f>
        <v>1</v>
      </c>
      <c r="AB19" s="34" t="n">
        <f aca="false">B19+Z19+AA19</f>
        <v>1814.88633394815</v>
      </c>
      <c r="AC19" s="35" t="n">
        <f aca="false">ROUND(IF(A19&gt;=Assumptions!B144,(IF(A19&gt;=25,Assumptions!B151,IF(A19&gt;=16,Assumptions!B150,Assumptions!B149))/1000*Assumptions!B146)+IF(A19&gt;=Assumptions!B145,(IF(A19&gt;=25,Assumptions!B151,IF(A19&gt;=16,Assumptions!B150,Assumptions!B149))*Assumptions!B152/1000*Assumptions!B147),0),0),0)</f>
        <v>16</v>
      </c>
      <c r="AD19" s="35" t="n">
        <f aca="false">IF(Y19&gt;=10000,Assumptions!B170,IF(Y19&gt;=5000,Assumptions!B169,IF(Y19&gt;=2000,Assumptions!B168,IF(Y19&gt;=500,Assumptions!B167,0))))</f>
        <v>0</v>
      </c>
    </row>
    <row r="20" customFormat="false" ht="15" hidden="false" customHeight="false" outlineLevel="0" collapsed="false">
      <c r="A20" s="26" t="n">
        <v>15</v>
      </c>
      <c r="B20" s="27" t="n">
        <f aca="false">B19*(1+Assumptions!B33)</f>
        <v>1823.99724066401</v>
      </c>
      <c r="C20" s="28" t="n">
        <f aca="false">ROUND(AB20*Assumptions!B25,0)</f>
        <v>39</v>
      </c>
      <c r="D20" s="28" t="n">
        <f aca="false">ROUND(AB20*Assumptions!B22,0)</f>
        <v>3</v>
      </c>
      <c r="E20" s="28" t="n">
        <f aca="false">E19+D20-F20</f>
        <v>19</v>
      </c>
      <c r="F20" s="28" t="n">
        <f aca="false">ROUND(E19*Assumptions!B43,0)</f>
        <v>1</v>
      </c>
      <c r="G20" s="28" t="n">
        <f aca="false">D20-F20</f>
        <v>2</v>
      </c>
      <c r="H20" s="29" t="n">
        <f aca="false">ROUND(E20*(Assumptions!B15*0.85+Assumptions!B11*0.15),0)</f>
        <v>218</v>
      </c>
      <c r="I20" s="29" t="n">
        <f aca="false">H20</f>
        <v>218</v>
      </c>
      <c r="J20" s="28" t="n">
        <f aca="false">ROUND(E20*Assumptions!B68,0)</f>
        <v>67</v>
      </c>
      <c r="K20" s="29" t="n">
        <f aca="false">ROUND(J20*Assumptions!B65,0)</f>
        <v>5</v>
      </c>
      <c r="L20" s="29" t="n">
        <f aca="false">Assumptions!B70+IF(E20&gt;Assumptions!B72,45,0)</f>
        <v>31</v>
      </c>
      <c r="M20" s="29" t="n">
        <f aca="false">Assumptions!B76+Assumptions!B77</f>
        <v>35</v>
      </c>
      <c r="N20" s="29" t="n">
        <f aca="false">Assumptions!B81+Assumptions!B82+Assumptions!B87/12+Assumptions!B148</f>
        <v>116</v>
      </c>
      <c r="O20" s="29" t="n">
        <f aca="false">ROUND(I20*Assumptions!B85+E20*Assumptions!B86+W20*Assumptions!B85+ROUND(AB20*Assumptions!B137*Assumptions!B138*Assumptions!B139,0)*Assumptions!B86,0)</f>
        <v>16</v>
      </c>
      <c r="P20" s="29" t="n">
        <f aca="false">K20+L20+M20+N20+O20+X20</f>
        <v>215</v>
      </c>
      <c r="Q20" s="29" t="n">
        <f aca="false">I20-P20</f>
        <v>3</v>
      </c>
      <c r="R20" s="29" t="n">
        <f aca="false">ROUND(AB20*Assumptions!B51*Assumptions!B52,0)</f>
        <v>682</v>
      </c>
      <c r="S20" s="30" t="n">
        <f aca="false">I20+R20+W20+AC20+AD20</f>
        <v>992</v>
      </c>
      <c r="T20" s="29" t="n">
        <f aca="false">IF(U20&lt;P20*3,0,IF(U20&lt;P20*6,ROUND((Q20+R20+W20+AC20+AD20)*0.75*Assumptions!B113,0),ROUND((Q20+R20+W20+AC20+AD20)*0.75*Assumptions!B114,0)))</f>
        <v>223</v>
      </c>
      <c r="U20" s="30" t="n">
        <f aca="false">U19+Q20+R20+W20+AC20+AD20</f>
        <v>1424</v>
      </c>
      <c r="V20" s="31" t="str">
        <f aca="false">IF(AB20&gt;=Assumptions!B107,"Signal 6",IF(AB20&gt;=Assumptions!B106,"Signal 5",IF(AB20&gt;=Assumptions!B105,"Signal 4",IF(AB20&gt;=Assumptions!B104,"Signal 3",IF(AB20&gt;=Assumptions!B103,"Signal 2",IF(AB20&gt;=Assumptions!B102,"Signal 1","Pre-Signal 1"))))))</f>
        <v>Pre-Signal 1</v>
      </c>
      <c r="W20" s="29" t="n">
        <f aca="false">ROUND(AB20*Assumptions!B137*Assumptions!B138*Assumptions!B139*Assumptions!B136,0)</f>
        <v>76</v>
      </c>
      <c r="X20" s="29" t="n">
        <f aca="false">ROUND(AB20*Assumptions!B137*Assumptions!B65,0)</f>
        <v>12</v>
      </c>
      <c r="Y20" s="32" t="n">
        <f aca="false">ROUND(Y19*(1+Assumptions!B165),0)</f>
        <v>384</v>
      </c>
      <c r="Z20" s="33" t="n">
        <f aca="false">Assumptions!B156</f>
        <v>125</v>
      </c>
      <c r="AA20" s="32" t="n">
        <f aca="false">ROUND(Y20*Assumptions!B166,0)</f>
        <v>1</v>
      </c>
      <c r="AB20" s="34" t="n">
        <f aca="false">B20+Z20+AA20</f>
        <v>1949.99724066401</v>
      </c>
      <c r="AC20" s="35" t="n">
        <f aca="false">ROUND(IF(A20&gt;=Assumptions!B144,(IF(A20&gt;=25,Assumptions!B151,IF(A20&gt;=16,Assumptions!B150,Assumptions!B149))/1000*Assumptions!B146)+IF(A20&gt;=Assumptions!B145,(IF(A20&gt;=25,Assumptions!B151,IF(A20&gt;=16,Assumptions!B150,Assumptions!B149))*Assumptions!B152/1000*Assumptions!B147),0),0),0)</f>
        <v>16</v>
      </c>
      <c r="AD20" s="35" t="n">
        <f aca="false">IF(Y20&gt;=10000,Assumptions!B170,IF(Y20&gt;=5000,Assumptions!B169,IF(Y20&gt;=2000,Assumptions!B168,IF(Y20&gt;=500,Assumptions!B167,0))))</f>
        <v>0</v>
      </c>
    </row>
    <row r="21" customFormat="false" ht="15" hidden="false" customHeight="false" outlineLevel="0" collapsed="false">
      <c r="A21" s="36" t="n">
        <v>16</v>
      </c>
      <c r="B21" s="37" t="n">
        <f aca="false">B20*(1+Assumptions!B33)</f>
        <v>1969.91701991713</v>
      </c>
      <c r="C21" s="38" t="n">
        <f aca="false">ROUND(AB21*Assumptions!B25,0)</f>
        <v>44</v>
      </c>
      <c r="D21" s="38" t="n">
        <f aca="false">ROUND(AB21*Assumptions!B22,0)</f>
        <v>3</v>
      </c>
      <c r="E21" s="38" t="n">
        <f aca="false">E20+D21-F21</f>
        <v>20</v>
      </c>
      <c r="F21" s="38" t="n">
        <f aca="false">ROUND(E20*Assumptions!B43,0)</f>
        <v>2</v>
      </c>
      <c r="G21" s="38" t="n">
        <f aca="false">D21-F21</f>
        <v>1</v>
      </c>
      <c r="H21" s="39" t="n">
        <f aca="false">ROUND(E21*(Assumptions!B15*0.85+Assumptions!B11*0.15),0)</f>
        <v>230</v>
      </c>
      <c r="I21" s="39" t="n">
        <f aca="false">H21</f>
        <v>230</v>
      </c>
      <c r="J21" s="38" t="n">
        <f aca="false">ROUND(E21*Assumptions!B68,0)</f>
        <v>70</v>
      </c>
      <c r="K21" s="39" t="n">
        <f aca="false">ROUND(J21*Assumptions!B65,0)</f>
        <v>6</v>
      </c>
      <c r="L21" s="39" t="n">
        <f aca="false">Assumptions!B70+IF(E21&gt;Assumptions!B72,45,0)</f>
        <v>31</v>
      </c>
      <c r="M21" s="39" t="n">
        <f aca="false">Assumptions!B76+Assumptions!B77</f>
        <v>35</v>
      </c>
      <c r="N21" s="39" t="n">
        <f aca="false">Assumptions!B81+Assumptions!B82+Assumptions!B87/12+Assumptions!B148</f>
        <v>116</v>
      </c>
      <c r="O21" s="39" t="n">
        <f aca="false">ROUND(I21*Assumptions!B85+E21*Assumptions!B86+W21*Assumptions!B85+ROUND(AB21*Assumptions!B137*Assumptions!B138*Assumptions!B139,0)*Assumptions!B86,0)</f>
        <v>17</v>
      </c>
      <c r="P21" s="39" t="n">
        <f aca="false">K21+L21+M21+N21+O21+X21</f>
        <v>219</v>
      </c>
      <c r="Q21" s="39" t="n">
        <f aca="false">I21-P21</f>
        <v>11</v>
      </c>
      <c r="R21" s="39" t="n">
        <f aca="false">ROUND(AB21*Assumptions!B51*Assumptions!B52,0)</f>
        <v>777</v>
      </c>
      <c r="S21" s="40" t="n">
        <f aca="false">I21+R21+W21+AC21+AD21</f>
        <v>1137</v>
      </c>
      <c r="T21" s="39" t="n">
        <f aca="false">IF(U21&lt;P21*3,0,IF(U21&lt;P21*6,ROUND((Q21+R21+W21+AC21+AD21)*0.75*Assumptions!B113,0),ROUND((Q21+R21+W21+AC21+AD21)*0.75*Assumptions!B114,0)))</f>
        <v>263</v>
      </c>
      <c r="U21" s="40" t="n">
        <f aca="false">U20+Q21+R21+W21+AC21+AD21</f>
        <v>2342</v>
      </c>
      <c r="V21" s="41" t="str">
        <f aca="false">IF(AB21&gt;=Assumptions!B107,"Signal 6",IF(AB21&gt;=Assumptions!B106,"Signal 5",IF(AB21&gt;=Assumptions!B105,"Signal 4",IF(AB21&gt;=Assumptions!B104,"Signal 3",IF(AB21&gt;=Assumptions!B103,"Signal 2",IF(AB21&gt;=Assumptions!B102,"Signal 1","Pre-Signal 1"))))))</f>
        <v>Pre-Signal 1</v>
      </c>
      <c r="W21" s="39" t="n">
        <f aca="false">ROUND(AB21*Assumptions!B137*Assumptions!B138*Assumptions!B139*Assumptions!B136,0)</f>
        <v>87</v>
      </c>
      <c r="X21" s="39" t="n">
        <f aca="false">ROUND(AB21*Assumptions!B137*Assumptions!B65,0)</f>
        <v>14</v>
      </c>
      <c r="Y21" s="32" t="n">
        <f aca="false">ROUND(Y20*(1+Assumptions!B165),0)</f>
        <v>422</v>
      </c>
      <c r="Z21" s="33" t="n">
        <f aca="false">Assumptions!B157</f>
        <v>250</v>
      </c>
      <c r="AA21" s="32" t="n">
        <f aca="false">ROUND(Y21*Assumptions!B166,0)</f>
        <v>1</v>
      </c>
      <c r="AB21" s="34" t="n">
        <f aca="false">B21+Z21+AA21</f>
        <v>2220.91701991713</v>
      </c>
      <c r="AC21" s="35" t="n">
        <f aca="false">ROUND(IF(A21&gt;=Assumptions!B144,(IF(A21&gt;=25,Assumptions!B151,IF(A21&gt;=16,Assumptions!B150,Assumptions!B149))/1000*Assumptions!B146)+IF(A21&gt;=Assumptions!B145,(IF(A21&gt;=25,Assumptions!B151,IF(A21&gt;=16,Assumptions!B150,Assumptions!B149))*Assumptions!B152/1000*Assumptions!B147),0),0),0)</f>
        <v>43</v>
      </c>
      <c r="AD21" s="35" t="n">
        <f aca="false">IF(Y21&gt;=10000,Assumptions!B170,IF(Y21&gt;=5000,Assumptions!B169,IF(Y21&gt;=2000,Assumptions!B168,IF(Y21&gt;=500,Assumptions!B167,0))))</f>
        <v>0</v>
      </c>
    </row>
    <row r="22" customFormat="false" ht="15" hidden="false" customHeight="false" outlineLevel="0" collapsed="false">
      <c r="A22" s="26" t="n">
        <v>17</v>
      </c>
      <c r="B22" s="27" t="n">
        <f aca="false">B21*(1+Assumptions!B33)</f>
        <v>2127.5103815105</v>
      </c>
      <c r="C22" s="28" t="n">
        <f aca="false">ROUND(AB22*Assumptions!B25,0)</f>
        <v>48</v>
      </c>
      <c r="D22" s="28" t="n">
        <f aca="false">ROUND(AB22*Assumptions!B22,0)</f>
        <v>4</v>
      </c>
      <c r="E22" s="28" t="n">
        <f aca="false">E21+D22-F22</f>
        <v>22</v>
      </c>
      <c r="F22" s="28" t="n">
        <f aca="false">ROUND(E21*Assumptions!B43,0)</f>
        <v>2</v>
      </c>
      <c r="G22" s="28" t="n">
        <f aca="false">D22-F22</f>
        <v>2</v>
      </c>
      <c r="H22" s="29" t="n">
        <f aca="false">ROUND(E22*(Assumptions!B15*0.85+Assumptions!B11*0.15),0)</f>
        <v>252</v>
      </c>
      <c r="I22" s="29" t="n">
        <f aca="false">H22</f>
        <v>252</v>
      </c>
      <c r="J22" s="28" t="n">
        <f aca="false">ROUND(E22*Assumptions!B68,0)</f>
        <v>77</v>
      </c>
      <c r="K22" s="29" t="n">
        <f aca="false">ROUND(J22*Assumptions!B65,0)</f>
        <v>6</v>
      </c>
      <c r="L22" s="29" t="n">
        <f aca="false">Assumptions!B70+IF(E22&gt;Assumptions!B72,45,0)</f>
        <v>31</v>
      </c>
      <c r="M22" s="29" t="n">
        <f aca="false">Assumptions!B76+Assumptions!B77</f>
        <v>35</v>
      </c>
      <c r="N22" s="29" t="n">
        <f aca="false">Assumptions!B81+Assumptions!B82+Assumptions!B87/12+Assumptions!B148</f>
        <v>116</v>
      </c>
      <c r="O22" s="29" t="n">
        <f aca="false">ROUND(I22*Assumptions!B85+E22*Assumptions!B86+W22*Assumptions!B85+ROUND(AB22*Assumptions!B137*Assumptions!B138*Assumptions!B139,0)*Assumptions!B86,0)</f>
        <v>19</v>
      </c>
      <c r="P22" s="29" t="n">
        <f aca="false">K22+L22+M22+N22+O22+X22</f>
        <v>222</v>
      </c>
      <c r="Q22" s="29" t="n">
        <f aca="false">I22-P22</f>
        <v>30</v>
      </c>
      <c r="R22" s="29" t="n">
        <f aca="false">ROUND(AB22*Assumptions!B51*Assumptions!B52,0)</f>
        <v>832</v>
      </c>
      <c r="S22" s="30" t="n">
        <f aca="false">I22+R22+W22+AC22+AD22</f>
        <v>1220</v>
      </c>
      <c r="T22" s="29" t="n">
        <f aca="false">IF(U22&lt;P22*3,0,IF(U22&lt;P22*6,ROUND((Q22+R22+W22+AC22+AD22)*0.75*Assumptions!B113,0),ROUND((Q22+R22+W22+AC22+AD22)*0.75*Assumptions!B114,0)))</f>
        <v>286</v>
      </c>
      <c r="U22" s="30" t="n">
        <f aca="false">U21+Q22+R22+W22+AC22+AD22</f>
        <v>3340</v>
      </c>
      <c r="V22" s="31" t="str">
        <f aca="false">IF(AB22&gt;=Assumptions!B107,"Signal 6",IF(AB22&gt;=Assumptions!B106,"Signal 5",IF(AB22&gt;=Assumptions!B105,"Signal 4",IF(AB22&gt;=Assumptions!B104,"Signal 3",IF(AB22&gt;=Assumptions!B103,"Signal 2",IF(AB22&gt;=Assumptions!B102,"Signal 1","Pre-Signal 1"))))))</f>
        <v>Pre-Signal 1</v>
      </c>
      <c r="W22" s="29" t="n">
        <f aca="false">ROUND(AB22*Assumptions!B137*Assumptions!B138*Assumptions!B139*Assumptions!B136,0)</f>
        <v>93</v>
      </c>
      <c r="X22" s="29" t="n">
        <f aca="false">ROUND(AB22*Assumptions!B137*Assumptions!B65,0)</f>
        <v>15</v>
      </c>
      <c r="Y22" s="32" t="n">
        <f aca="false">ROUND(Y21*(1+Assumptions!B165),0)</f>
        <v>464</v>
      </c>
      <c r="Z22" s="33" t="n">
        <f aca="false">Assumptions!B157</f>
        <v>250</v>
      </c>
      <c r="AA22" s="32" t="n">
        <f aca="false">ROUND(Y22*Assumptions!B166,0)</f>
        <v>1</v>
      </c>
      <c r="AB22" s="34" t="n">
        <f aca="false">B22+Z22+AA22</f>
        <v>2378.5103815105</v>
      </c>
      <c r="AC22" s="35" t="n">
        <f aca="false">ROUND(IF(A22&gt;=Assumptions!B144,(IF(A22&gt;=25,Assumptions!B151,IF(A22&gt;=16,Assumptions!B150,Assumptions!B149))/1000*Assumptions!B146)+IF(A22&gt;=Assumptions!B145,(IF(A22&gt;=25,Assumptions!B151,IF(A22&gt;=16,Assumptions!B150,Assumptions!B149))*Assumptions!B152/1000*Assumptions!B147),0),0),0)</f>
        <v>43</v>
      </c>
      <c r="AD22" s="35" t="n">
        <f aca="false">IF(Y22&gt;=10000,Assumptions!B170,IF(Y22&gt;=5000,Assumptions!B169,IF(Y22&gt;=2000,Assumptions!B168,IF(Y22&gt;=500,Assumptions!B167,0))))</f>
        <v>0</v>
      </c>
    </row>
    <row r="23" customFormat="false" ht="15" hidden="false" customHeight="false" outlineLevel="0" collapsed="false">
      <c r="A23" s="36" t="n">
        <v>18</v>
      </c>
      <c r="B23" s="37" t="n">
        <f aca="false">B22*(1+Assumptions!B33)</f>
        <v>2297.71121203134</v>
      </c>
      <c r="C23" s="38" t="n">
        <f aca="false">ROUND(AB23*Assumptions!B25,0)</f>
        <v>51</v>
      </c>
      <c r="D23" s="38" t="n">
        <f aca="false">ROUND(AB23*Assumptions!B22,0)</f>
        <v>4</v>
      </c>
      <c r="E23" s="38" t="n">
        <f aca="false">E22+D23-F23</f>
        <v>24</v>
      </c>
      <c r="F23" s="38" t="n">
        <f aca="false">ROUND(E22*Assumptions!B43,0)</f>
        <v>2</v>
      </c>
      <c r="G23" s="38" t="n">
        <f aca="false">D23-F23</f>
        <v>2</v>
      </c>
      <c r="H23" s="39" t="n">
        <f aca="false">ROUND(E23*(Assumptions!B15*0.85+Assumptions!B11*0.15),0)</f>
        <v>275</v>
      </c>
      <c r="I23" s="39" t="n">
        <f aca="false">H23</f>
        <v>275</v>
      </c>
      <c r="J23" s="38" t="n">
        <f aca="false">ROUND(E23*Assumptions!B68,0)</f>
        <v>84</v>
      </c>
      <c r="K23" s="39" t="n">
        <f aca="false">ROUND(J23*Assumptions!B65,0)</f>
        <v>7</v>
      </c>
      <c r="L23" s="39" t="n">
        <f aca="false">Assumptions!B70+IF(E23&gt;Assumptions!B72,45,0)</f>
        <v>31</v>
      </c>
      <c r="M23" s="39" t="n">
        <f aca="false">Assumptions!B76+Assumptions!B77</f>
        <v>35</v>
      </c>
      <c r="N23" s="39" t="n">
        <f aca="false">Assumptions!B81+Assumptions!B82+Assumptions!B87/12+Assumptions!B148</f>
        <v>116</v>
      </c>
      <c r="O23" s="39" t="n">
        <f aca="false">ROUND(I23*Assumptions!B85+E23*Assumptions!B86+W23*Assumptions!B85+ROUND(AB23*Assumptions!B137*Assumptions!B138*Assumptions!B139,0)*Assumptions!B86,0)</f>
        <v>20</v>
      </c>
      <c r="P23" s="39" t="n">
        <f aca="false">K23+L23+M23+N23+O23+X23</f>
        <v>225</v>
      </c>
      <c r="Q23" s="39" t="n">
        <f aca="false">I23-P23</f>
        <v>50</v>
      </c>
      <c r="R23" s="39" t="n">
        <f aca="false">ROUND(AB23*Assumptions!B51*Assumptions!B52,0)</f>
        <v>892</v>
      </c>
      <c r="S23" s="40" t="n">
        <f aca="false">I23+R23+W23+AC23+AD23</f>
        <v>1314</v>
      </c>
      <c r="T23" s="39" t="n">
        <f aca="false">IF(U23&lt;P23*3,0,IF(U23&lt;P23*6,ROUND((Q23+R23+W23+AC23+AD23)*0.75*Assumptions!B113,0),ROUND((Q23+R23+W23+AC23+AD23)*0.75*Assumptions!B114,0)))</f>
        <v>312</v>
      </c>
      <c r="U23" s="40" t="n">
        <f aca="false">U22+Q23+R23+W23+AC23+AD23</f>
        <v>4429</v>
      </c>
      <c r="V23" s="41" t="str">
        <f aca="false">IF(AB23&gt;=Assumptions!B107,"Signal 6",IF(AB23&gt;=Assumptions!B106,"Signal 5",IF(AB23&gt;=Assumptions!B105,"Signal 4",IF(AB23&gt;=Assumptions!B104,"Signal 3",IF(AB23&gt;=Assumptions!B103,"Signal 2",IF(AB23&gt;=Assumptions!B102,"Signal 1","Pre-Signal 1"))))))</f>
        <v>Pre-Signal 1</v>
      </c>
      <c r="W23" s="39" t="n">
        <f aca="false">ROUND(AB23*Assumptions!B137*Assumptions!B138*Assumptions!B139*Assumptions!B136,0)</f>
        <v>99</v>
      </c>
      <c r="X23" s="39" t="n">
        <f aca="false">ROUND(AB23*Assumptions!B137*Assumptions!B65,0)</f>
        <v>16</v>
      </c>
      <c r="Y23" s="32" t="n">
        <f aca="false">ROUND(Y22*(1+Assumptions!B165),0)</f>
        <v>510</v>
      </c>
      <c r="Z23" s="33" t="n">
        <f aca="false">Assumptions!B157</f>
        <v>250</v>
      </c>
      <c r="AA23" s="32" t="n">
        <f aca="false">ROUND(Y23*Assumptions!B166,0)</f>
        <v>2</v>
      </c>
      <c r="AB23" s="34" t="n">
        <f aca="false">B23+Z23+AA23</f>
        <v>2549.71121203134</v>
      </c>
      <c r="AC23" s="35" t="n">
        <f aca="false">ROUND(IF(A23&gt;=Assumptions!B144,(IF(A23&gt;=25,Assumptions!B151,IF(A23&gt;=16,Assumptions!B150,Assumptions!B149))/1000*Assumptions!B146)+IF(A23&gt;=Assumptions!B145,(IF(A23&gt;=25,Assumptions!B151,IF(A23&gt;=16,Assumptions!B150,Assumptions!B149))*Assumptions!B152/1000*Assumptions!B147),0),0),0)</f>
        <v>43</v>
      </c>
      <c r="AD23" s="35" t="n">
        <f aca="false">IF(Y23&gt;=10000,Assumptions!B170,IF(Y23&gt;=5000,Assumptions!B169,IF(Y23&gt;=2000,Assumptions!B168,IF(Y23&gt;=500,Assumptions!B167,0))))</f>
        <v>5</v>
      </c>
    </row>
    <row r="24" customFormat="false" ht="15" hidden="false" customHeight="false" outlineLevel="0" collapsed="false">
      <c r="A24" s="26" t="n">
        <v>19</v>
      </c>
      <c r="B24" s="27" t="n">
        <f aca="false">B23*(1+Assumptions!B33)</f>
        <v>2481.52810899384</v>
      </c>
      <c r="C24" s="28" t="n">
        <f aca="false">ROUND(AB24*Assumptions!B25,0)</f>
        <v>55</v>
      </c>
      <c r="D24" s="28" t="n">
        <f aca="false">ROUND(AB24*Assumptions!B22,0)</f>
        <v>4</v>
      </c>
      <c r="E24" s="28" t="n">
        <f aca="false">E23+D24-F24</f>
        <v>26</v>
      </c>
      <c r="F24" s="28" t="n">
        <f aca="false">ROUND(E23*Assumptions!B43,0)</f>
        <v>2</v>
      </c>
      <c r="G24" s="28" t="n">
        <f aca="false">D24-F24</f>
        <v>2</v>
      </c>
      <c r="H24" s="29" t="n">
        <f aca="false">ROUND(E24*(Assumptions!B15*0.85+Assumptions!B11*0.15),0)</f>
        <v>298</v>
      </c>
      <c r="I24" s="29" t="n">
        <f aca="false">H24</f>
        <v>298</v>
      </c>
      <c r="J24" s="28" t="n">
        <f aca="false">ROUND(E24*Assumptions!B68,0)</f>
        <v>91</v>
      </c>
      <c r="K24" s="29" t="n">
        <f aca="false">ROUND(J24*Assumptions!B65,0)</f>
        <v>7</v>
      </c>
      <c r="L24" s="29" t="n">
        <f aca="false">Assumptions!B70+IF(E24&gt;Assumptions!B72,45,0)</f>
        <v>31</v>
      </c>
      <c r="M24" s="29" t="n">
        <f aca="false">Assumptions!B76+Assumptions!B77</f>
        <v>35</v>
      </c>
      <c r="N24" s="29" t="n">
        <f aca="false">Assumptions!B81+Assumptions!B82+Assumptions!B87/12+Assumptions!B148</f>
        <v>116</v>
      </c>
      <c r="O24" s="29" t="n">
        <f aca="false">ROUND(I24*Assumptions!B85+E24*Assumptions!B86+W24*Assumptions!B85+ROUND(AB24*Assumptions!B137*Assumptions!B138*Assumptions!B139,0)*Assumptions!B86,0)</f>
        <v>22</v>
      </c>
      <c r="P24" s="29" t="n">
        <f aca="false">K24+L24+M24+N24+O24+X24</f>
        <v>228</v>
      </c>
      <c r="Q24" s="29" t="n">
        <f aca="false">I24-P24</f>
        <v>70</v>
      </c>
      <c r="R24" s="29" t="n">
        <f aca="false">ROUND(AB24*Assumptions!B51*Assumptions!B52,0)</f>
        <v>957</v>
      </c>
      <c r="S24" s="30" t="n">
        <f aca="false">I24+R24+W24+AC24+AD24</f>
        <v>1410</v>
      </c>
      <c r="T24" s="29" t="n">
        <f aca="false">IF(U24&lt;P24*3,0,IF(U24&lt;P24*6,ROUND((Q24+R24+W24+AC24+AD24)*0.75*Assumptions!B113,0),ROUND((Q24+R24+W24+AC24+AD24)*0.75*Assumptions!B114,0)))</f>
        <v>339</v>
      </c>
      <c r="U24" s="30" t="n">
        <f aca="false">U23+Q24+R24+W24+AC24+AD24</f>
        <v>5611</v>
      </c>
      <c r="V24" s="31" t="str">
        <f aca="false">IF(AB24&gt;=Assumptions!B107,"Signal 6",IF(AB24&gt;=Assumptions!B106,"Signal 5",IF(AB24&gt;=Assumptions!B105,"Signal 4",IF(AB24&gt;=Assumptions!B104,"Signal 3",IF(AB24&gt;=Assumptions!B103,"Signal 2",IF(AB24&gt;=Assumptions!B102,"Signal 1","Pre-Signal 1"))))))</f>
        <v>Pre-Signal 1</v>
      </c>
      <c r="W24" s="29" t="n">
        <f aca="false">ROUND(AB24*Assumptions!B137*Assumptions!B138*Assumptions!B139*Assumptions!B136,0)</f>
        <v>107</v>
      </c>
      <c r="X24" s="29" t="n">
        <f aca="false">ROUND(AB24*Assumptions!B137*Assumptions!B65,0)</f>
        <v>17</v>
      </c>
      <c r="Y24" s="32" t="n">
        <f aca="false">ROUND(Y23*(1+Assumptions!B165),0)</f>
        <v>561</v>
      </c>
      <c r="Z24" s="33" t="n">
        <f aca="false">Assumptions!B157</f>
        <v>250</v>
      </c>
      <c r="AA24" s="32" t="n">
        <f aca="false">ROUND(Y24*Assumptions!B166,0)</f>
        <v>2</v>
      </c>
      <c r="AB24" s="34" t="n">
        <f aca="false">B24+Z24+AA24</f>
        <v>2733.52810899384</v>
      </c>
      <c r="AC24" s="35" t="n">
        <f aca="false">ROUND(IF(A24&gt;=Assumptions!B144,(IF(A24&gt;=25,Assumptions!B151,IF(A24&gt;=16,Assumptions!B150,Assumptions!B149))/1000*Assumptions!B146)+IF(A24&gt;=Assumptions!B145,(IF(A24&gt;=25,Assumptions!B151,IF(A24&gt;=16,Assumptions!B150,Assumptions!B149))*Assumptions!B152/1000*Assumptions!B147),0),0),0)</f>
        <v>43</v>
      </c>
      <c r="AD24" s="35" t="n">
        <f aca="false">IF(Y24&gt;=10000,Assumptions!B170,IF(Y24&gt;=5000,Assumptions!B169,IF(Y24&gt;=2000,Assumptions!B168,IF(Y24&gt;=500,Assumptions!B167,0))))</f>
        <v>5</v>
      </c>
    </row>
    <row r="25" customFormat="false" ht="15" hidden="false" customHeight="false" outlineLevel="0" collapsed="false">
      <c r="A25" s="36" t="n">
        <v>20</v>
      </c>
      <c r="B25" s="37" t="n">
        <f aca="false">B24*(1+Assumptions!B33)</f>
        <v>2680.05035771335</v>
      </c>
      <c r="C25" s="38" t="n">
        <f aca="false">ROUND(AB25*Assumptions!B25,0)</f>
        <v>59</v>
      </c>
      <c r="D25" s="38" t="n">
        <f aca="false">ROUND(AB25*Assumptions!B22,0)</f>
        <v>4</v>
      </c>
      <c r="E25" s="38" t="n">
        <f aca="false">E24+D25-F25</f>
        <v>28</v>
      </c>
      <c r="F25" s="38" t="n">
        <f aca="false">ROUND(E24*Assumptions!B43,0)</f>
        <v>2</v>
      </c>
      <c r="G25" s="38" t="n">
        <f aca="false">D25-F25</f>
        <v>2</v>
      </c>
      <c r="H25" s="39" t="n">
        <f aca="false">ROUND(E25*(Assumptions!B15*0.85+Assumptions!B11*0.15),0)</f>
        <v>321</v>
      </c>
      <c r="I25" s="39" t="n">
        <f aca="false">H25</f>
        <v>321</v>
      </c>
      <c r="J25" s="38" t="n">
        <f aca="false">ROUND(E25*Assumptions!B68,0)</f>
        <v>98</v>
      </c>
      <c r="K25" s="39" t="n">
        <f aca="false">ROUND(J25*Assumptions!B65,0)</f>
        <v>8</v>
      </c>
      <c r="L25" s="39" t="n">
        <f aca="false">Assumptions!B70+IF(E25&gt;Assumptions!B72,45,0)</f>
        <v>31</v>
      </c>
      <c r="M25" s="39" t="n">
        <f aca="false">Assumptions!B76+Assumptions!B77</f>
        <v>35</v>
      </c>
      <c r="N25" s="39" t="n">
        <f aca="false">Assumptions!B81+Assumptions!B82+Assumptions!B87/12+Assumptions!B148</f>
        <v>116</v>
      </c>
      <c r="O25" s="39" t="n">
        <f aca="false">ROUND(I25*Assumptions!B85+E25*Assumptions!B86+W25*Assumptions!B85+ROUND(AB25*Assumptions!B137*Assumptions!B138*Assumptions!B139,0)*Assumptions!B86,0)</f>
        <v>24</v>
      </c>
      <c r="P25" s="39" t="n">
        <f aca="false">K25+L25+M25+N25+O25+X25</f>
        <v>233</v>
      </c>
      <c r="Q25" s="39" t="n">
        <f aca="false">I25-P25</f>
        <v>88</v>
      </c>
      <c r="R25" s="39" t="n">
        <f aca="false">ROUND(AB25*Assumptions!B51*Assumptions!B52,0)</f>
        <v>1026</v>
      </c>
      <c r="S25" s="40" t="n">
        <f aca="false">I25+R25+W25+AC25+AD25</f>
        <v>1509</v>
      </c>
      <c r="T25" s="39" t="n">
        <f aca="false">IF(U25&lt;P25*3,0,IF(U25&lt;P25*6,ROUND((Q25+R25+W25+AC25+AD25)*0.75*Assumptions!B113,0),ROUND((Q25+R25+W25+AC25+AD25)*0.75*Assumptions!B114,0)))</f>
        <v>366</v>
      </c>
      <c r="U25" s="40" t="n">
        <f aca="false">U24+Q25+R25+W25+AC25+AD25</f>
        <v>6887</v>
      </c>
      <c r="V25" s="41" t="str">
        <f aca="false">IF(AB25&gt;=Assumptions!B107,"Signal 6",IF(AB25&gt;=Assumptions!B106,"Signal 5",IF(AB25&gt;=Assumptions!B105,"Signal 4",IF(AB25&gt;=Assumptions!B104,"Signal 3",IF(AB25&gt;=Assumptions!B103,"Signal 2",IF(AB25&gt;=Assumptions!B102,"Signal 1","Pre-Signal 1"))))))</f>
        <v>Pre-Signal 1</v>
      </c>
      <c r="W25" s="39" t="n">
        <f aca="false">ROUND(AB25*Assumptions!B137*Assumptions!B138*Assumptions!B139*Assumptions!B136,0)</f>
        <v>114</v>
      </c>
      <c r="X25" s="39" t="n">
        <f aca="false">ROUND(AB25*Assumptions!B137*Assumptions!B65,0)</f>
        <v>19</v>
      </c>
      <c r="Y25" s="32" t="n">
        <f aca="false">ROUND(Y24*(1+Assumptions!B165),0)</f>
        <v>617</v>
      </c>
      <c r="Z25" s="33" t="n">
        <f aca="false">Assumptions!B157</f>
        <v>250</v>
      </c>
      <c r="AA25" s="32" t="n">
        <f aca="false">ROUND(Y25*Assumptions!B166,0)</f>
        <v>2</v>
      </c>
      <c r="AB25" s="34" t="n">
        <f aca="false">B25+Z25+AA25</f>
        <v>2932.05035771335</v>
      </c>
      <c r="AC25" s="35" t="n">
        <f aca="false">ROUND(IF(A25&gt;=Assumptions!B144,(IF(A25&gt;=25,Assumptions!B151,IF(A25&gt;=16,Assumptions!B150,Assumptions!B149))/1000*Assumptions!B146)+IF(A25&gt;=Assumptions!B145,(IF(A25&gt;=25,Assumptions!B151,IF(A25&gt;=16,Assumptions!B150,Assumptions!B149))*Assumptions!B152/1000*Assumptions!B147),0),0),0)</f>
        <v>43</v>
      </c>
      <c r="AD25" s="35" t="n">
        <f aca="false">IF(Y25&gt;=10000,Assumptions!B170,IF(Y25&gt;=5000,Assumptions!B169,IF(Y25&gt;=2000,Assumptions!B168,IF(Y25&gt;=500,Assumptions!B167,0))))</f>
        <v>5</v>
      </c>
    </row>
    <row r="26" customFormat="false" ht="15" hidden="false" customHeight="false" outlineLevel="0" collapsed="false">
      <c r="A26" s="26" t="n">
        <v>21</v>
      </c>
      <c r="B26" s="27" t="n">
        <f aca="false">B25*(1+Assumptions!B33)</f>
        <v>2894.45438633042</v>
      </c>
      <c r="C26" s="28" t="n">
        <f aca="false">ROUND(AB26*Assumptions!B25,0)</f>
        <v>63</v>
      </c>
      <c r="D26" s="28" t="n">
        <f aca="false">ROUND(AB26*Assumptions!B22,0)</f>
        <v>5</v>
      </c>
      <c r="E26" s="28" t="n">
        <f aca="false">E25+D26-F26</f>
        <v>31</v>
      </c>
      <c r="F26" s="28" t="n">
        <f aca="false">ROUND(E25*Assumptions!B43,0)</f>
        <v>2</v>
      </c>
      <c r="G26" s="28" t="n">
        <f aca="false">D26-F26</f>
        <v>3</v>
      </c>
      <c r="H26" s="29" t="n">
        <f aca="false">ROUND(E26*(Assumptions!B15*0.85+Assumptions!B11*0.15),0)</f>
        <v>356</v>
      </c>
      <c r="I26" s="29" t="n">
        <f aca="false">H26</f>
        <v>356</v>
      </c>
      <c r="J26" s="28" t="n">
        <f aca="false">ROUND(E26*Assumptions!B68,0)</f>
        <v>109</v>
      </c>
      <c r="K26" s="29" t="n">
        <f aca="false">ROUND(J26*Assumptions!B65,0)</f>
        <v>9</v>
      </c>
      <c r="L26" s="29" t="n">
        <f aca="false">Assumptions!B70+IF(E26&gt;Assumptions!B72,45,0)</f>
        <v>31</v>
      </c>
      <c r="M26" s="29" t="n">
        <f aca="false">Assumptions!B76+Assumptions!B77</f>
        <v>35</v>
      </c>
      <c r="N26" s="29" t="n">
        <f aca="false">Assumptions!B81+Assumptions!B82+Assumptions!B87/12+Assumptions!B148</f>
        <v>116</v>
      </c>
      <c r="O26" s="29" t="n">
        <f aca="false">ROUND(I26*Assumptions!B85+E26*Assumptions!B86+W26*Assumptions!B85+ROUND(AB26*Assumptions!B137*Assumptions!B138*Assumptions!B139,0)*Assumptions!B86,0)</f>
        <v>26</v>
      </c>
      <c r="P26" s="29" t="n">
        <f aca="false">K26+L26+M26+N26+O26+X26</f>
        <v>237</v>
      </c>
      <c r="Q26" s="29" t="n">
        <f aca="false">I26-P26</f>
        <v>119</v>
      </c>
      <c r="R26" s="29" t="n">
        <f aca="false">ROUND(AB26*Assumptions!B51*Assumptions!B52,0)</f>
        <v>1101</v>
      </c>
      <c r="S26" s="30" t="n">
        <f aca="false">I26+R26+W26+AC26+AD26</f>
        <v>1628</v>
      </c>
      <c r="T26" s="29" t="n">
        <f aca="false">IF(U26&lt;P26*3,0,IF(U26&lt;P26*6,ROUND((Q26+R26+W26+AC26+AD26)*0.75*Assumptions!B113,0),ROUND((Q26+R26+W26+AC26+AD26)*0.75*Assumptions!B114,0)))</f>
        <v>399</v>
      </c>
      <c r="U26" s="30" t="n">
        <f aca="false">U25+Q26+R26+W26+AC26+AD26</f>
        <v>8278</v>
      </c>
      <c r="V26" s="31" t="str">
        <f aca="false">IF(AB26&gt;=Assumptions!B107,"Signal 6",IF(AB26&gt;=Assumptions!B106,"Signal 5",IF(AB26&gt;=Assumptions!B105,"Signal 4",IF(AB26&gt;=Assumptions!B104,"Signal 3",IF(AB26&gt;=Assumptions!B103,"Signal 2",IF(AB26&gt;=Assumptions!B102,"Signal 1","Pre-Signal 1"))))))</f>
        <v>Pre-Signal 1</v>
      </c>
      <c r="W26" s="29" t="n">
        <f aca="false">ROUND(AB26*Assumptions!B137*Assumptions!B138*Assumptions!B139*Assumptions!B136,0)</f>
        <v>123</v>
      </c>
      <c r="X26" s="29" t="n">
        <f aca="false">ROUND(AB26*Assumptions!B137*Assumptions!B65,0)</f>
        <v>20</v>
      </c>
      <c r="Y26" s="32" t="n">
        <f aca="false">ROUND(Y25*(1+Assumptions!B165),0)</f>
        <v>679</v>
      </c>
      <c r="Z26" s="33" t="n">
        <f aca="false">Assumptions!B157</f>
        <v>250</v>
      </c>
      <c r="AA26" s="32" t="n">
        <f aca="false">ROUND(Y26*Assumptions!B166,0)</f>
        <v>2</v>
      </c>
      <c r="AB26" s="34" t="n">
        <f aca="false">B26+Z26+AA26</f>
        <v>3146.45438633042</v>
      </c>
      <c r="AC26" s="35" t="n">
        <f aca="false">ROUND(IF(A26&gt;=Assumptions!B144,(IF(A26&gt;=25,Assumptions!B151,IF(A26&gt;=16,Assumptions!B150,Assumptions!B149))/1000*Assumptions!B146)+IF(A26&gt;=Assumptions!B145,(IF(A26&gt;=25,Assumptions!B151,IF(A26&gt;=16,Assumptions!B150,Assumptions!B149))*Assumptions!B152/1000*Assumptions!B147),0),0),0)</f>
        <v>43</v>
      </c>
      <c r="AD26" s="35" t="n">
        <f aca="false">IF(Y26&gt;=10000,Assumptions!B170,IF(Y26&gt;=5000,Assumptions!B169,IF(Y26&gt;=2000,Assumptions!B168,IF(Y26&gt;=500,Assumptions!B167,0))))</f>
        <v>5</v>
      </c>
    </row>
    <row r="27" customFormat="false" ht="15" hidden="false" customHeight="false" outlineLevel="0" collapsed="false">
      <c r="A27" s="36" t="n">
        <v>22</v>
      </c>
      <c r="B27" s="37" t="n">
        <f aca="false">B26*(1+Assumptions!B33)</f>
        <v>3126.01073723685</v>
      </c>
      <c r="C27" s="38" t="n">
        <f aca="false">ROUND(AB27*Assumptions!B25,0)</f>
        <v>68</v>
      </c>
      <c r="D27" s="38" t="n">
        <f aca="false">ROUND(AB27*Assumptions!B22,0)</f>
        <v>5</v>
      </c>
      <c r="E27" s="38" t="n">
        <f aca="false">E26+D27-F27</f>
        <v>34</v>
      </c>
      <c r="F27" s="38" t="n">
        <f aca="false">ROUND(E26*Assumptions!B43,0)</f>
        <v>2</v>
      </c>
      <c r="G27" s="38" t="n">
        <f aca="false">D27-F27</f>
        <v>3</v>
      </c>
      <c r="H27" s="39" t="n">
        <f aca="false">ROUND(E27*(Assumptions!B15*0.85+Assumptions!B11*0.15),0)</f>
        <v>390</v>
      </c>
      <c r="I27" s="39" t="n">
        <f aca="false">H27</f>
        <v>390</v>
      </c>
      <c r="J27" s="38" t="n">
        <f aca="false">ROUND(E27*Assumptions!B68,0)</f>
        <v>119</v>
      </c>
      <c r="K27" s="39" t="n">
        <f aca="false">ROUND(J27*Assumptions!B65,0)</f>
        <v>10</v>
      </c>
      <c r="L27" s="39" t="n">
        <f aca="false">Assumptions!B70+IF(E27&gt;Assumptions!B72,45,0)</f>
        <v>31</v>
      </c>
      <c r="M27" s="39" t="n">
        <f aca="false">Assumptions!B76+Assumptions!B77</f>
        <v>35</v>
      </c>
      <c r="N27" s="39" t="n">
        <f aca="false">Assumptions!B81+Assumptions!B82+Assumptions!B87/12+Assumptions!B148</f>
        <v>116</v>
      </c>
      <c r="O27" s="39" t="n">
        <f aca="false">ROUND(I27*Assumptions!B85+E27*Assumptions!B86+W27*Assumptions!B85+ROUND(AB27*Assumptions!B137*Assumptions!B138*Assumptions!B139,0)*Assumptions!B86,0)</f>
        <v>28</v>
      </c>
      <c r="P27" s="39" t="n">
        <f aca="false">K27+L27+M27+N27+O27+X27</f>
        <v>242</v>
      </c>
      <c r="Q27" s="39" t="n">
        <f aca="false">I27-P27</f>
        <v>148</v>
      </c>
      <c r="R27" s="39" t="n">
        <f aca="false">ROUND(AB27*Assumptions!B51*Assumptions!B52,0)</f>
        <v>1182</v>
      </c>
      <c r="S27" s="40" t="n">
        <f aca="false">I27+R27+W27+AC27+AD27</f>
        <v>1752</v>
      </c>
      <c r="T27" s="39" t="n">
        <f aca="false">IF(U27&lt;P27*3,0,IF(U27&lt;P27*6,ROUND((Q27+R27+W27+AC27+AD27)*0.75*Assumptions!B113,0),ROUND((Q27+R27+W27+AC27+AD27)*0.75*Assumptions!B114,0)))</f>
        <v>433</v>
      </c>
      <c r="U27" s="40" t="n">
        <f aca="false">U26+Q27+R27+W27+AC27+AD27</f>
        <v>9788</v>
      </c>
      <c r="V27" s="41" t="str">
        <f aca="false">IF(AB27&gt;=Assumptions!B107,"Signal 6",IF(AB27&gt;=Assumptions!B106,"Signal 5",IF(AB27&gt;=Assumptions!B105,"Signal 4",IF(AB27&gt;=Assumptions!B104,"Signal 3",IF(AB27&gt;=Assumptions!B103,"Signal 2",IF(AB27&gt;=Assumptions!B102,"Signal 1","Pre-Signal 1"))))))</f>
        <v>Pre-Signal 1</v>
      </c>
      <c r="W27" s="39" t="n">
        <f aca="false">ROUND(AB27*Assumptions!B137*Assumptions!B138*Assumptions!B139*Assumptions!B136,0)</f>
        <v>132</v>
      </c>
      <c r="X27" s="39" t="n">
        <f aca="false">ROUND(AB27*Assumptions!B137*Assumptions!B65,0)</f>
        <v>22</v>
      </c>
      <c r="Y27" s="32" t="n">
        <f aca="false">ROUND(Y26*(1+Assumptions!B165),0)</f>
        <v>747</v>
      </c>
      <c r="Z27" s="33" t="n">
        <f aca="false">Assumptions!B157</f>
        <v>250</v>
      </c>
      <c r="AA27" s="32" t="n">
        <f aca="false">ROUND(Y27*Assumptions!B166,0)</f>
        <v>2</v>
      </c>
      <c r="AB27" s="34" t="n">
        <f aca="false">B27+Z27+AA27</f>
        <v>3378.01073723685</v>
      </c>
      <c r="AC27" s="35" t="n">
        <f aca="false">ROUND(IF(A27&gt;=Assumptions!B144,(IF(A27&gt;=25,Assumptions!B151,IF(A27&gt;=16,Assumptions!B150,Assumptions!B149))/1000*Assumptions!B146)+IF(A27&gt;=Assumptions!B145,(IF(A27&gt;=25,Assumptions!B151,IF(A27&gt;=16,Assumptions!B150,Assumptions!B149))*Assumptions!B152/1000*Assumptions!B147),0),0),0)</f>
        <v>43</v>
      </c>
      <c r="AD27" s="35" t="n">
        <f aca="false">IF(Y27&gt;=10000,Assumptions!B170,IF(Y27&gt;=5000,Assumptions!B169,IF(Y27&gt;=2000,Assumptions!B168,IF(Y27&gt;=500,Assumptions!B167,0))))</f>
        <v>5</v>
      </c>
    </row>
    <row r="28" customFormat="false" ht="15" hidden="false" customHeight="false" outlineLevel="0" collapsed="false">
      <c r="A28" s="26" t="n">
        <v>23</v>
      </c>
      <c r="B28" s="27" t="n">
        <f aca="false">B27*(1+Assumptions!B33)</f>
        <v>3376.0915962158</v>
      </c>
      <c r="C28" s="28" t="n">
        <f aca="false">ROUND(AB28*Assumptions!B25,0)</f>
        <v>73</v>
      </c>
      <c r="D28" s="28" t="n">
        <f aca="false">ROUND(AB28*Assumptions!B22,0)</f>
        <v>5</v>
      </c>
      <c r="E28" s="28" t="n">
        <f aca="false">E27+D28-F28</f>
        <v>36</v>
      </c>
      <c r="F28" s="28" t="n">
        <f aca="false">ROUND(E27*Assumptions!B43,0)</f>
        <v>3</v>
      </c>
      <c r="G28" s="28" t="n">
        <f aca="false">D28-F28</f>
        <v>2</v>
      </c>
      <c r="H28" s="29" t="n">
        <f aca="false">ROUND(E28*(Assumptions!B15*0.85+Assumptions!B11*0.15),0)</f>
        <v>413</v>
      </c>
      <c r="I28" s="29" t="n">
        <f aca="false">H28</f>
        <v>413</v>
      </c>
      <c r="J28" s="28" t="n">
        <f aca="false">ROUND(E28*Assumptions!B68,0)</f>
        <v>126</v>
      </c>
      <c r="K28" s="29" t="n">
        <f aca="false">ROUND(J28*Assumptions!B65,0)</f>
        <v>10</v>
      </c>
      <c r="L28" s="29" t="n">
        <f aca="false">Assumptions!B70+IF(E28&gt;Assumptions!B72,45,0)</f>
        <v>31</v>
      </c>
      <c r="M28" s="29" t="n">
        <f aca="false">Assumptions!B76+Assumptions!B77</f>
        <v>35</v>
      </c>
      <c r="N28" s="29" t="n">
        <f aca="false">Assumptions!B81+Assumptions!B82+Assumptions!B87/12+Assumptions!B148</f>
        <v>116</v>
      </c>
      <c r="O28" s="29" t="n">
        <f aca="false">ROUND(I28*Assumptions!B85+E28*Assumptions!B86+W28*Assumptions!B85+ROUND(AB28*Assumptions!B137*Assumptions!B138*Assumptions!B139,0)*Assumptions!B86,0)</f>
        <v>30</v>
      </c>
      <c r="P28" s="29" t="n">
        <f aca="false">K28+L28+M28+N28+O28+X28</f>
        <v>245</v>
      </c>
      <c r="Q28" s="29" t="n">
        <f aca="false">I28-P28</f>
        <v>168</v>
      </c>
      <c r="R28" s="29" t="n">
        <f aca="false">ROUND(AB28*Assumptions!B51*Assumptions!B52,0)</f>
        <v>1270</v>
      </c>
      <c r="S28" s="30" t="n">
        <f aca="false">I28+R28+W28+AC28+AD28</f>
        <v>1872</v>
      </c>
      <c r="T28" s="29" t="n">
        <f aca="false">IF(U28&lt;P28*3,0,IF(U28&lt;P28*6,ROUND((Q28+R28+W28+AC28+AD28)*0.75*Assumptions!B113,0),ROUND((Q28+R28+W28+AC28+AD28)*0.75*Assumptions!B114,0)))</f>
        <v>466</v>
      </c>
      <c r="U28" s="30" t="n">
        <f aca="false">U27+Q28+R28+W28+AC28+AD28</f>
        <v>11415</v>
      </c>
      <c r="V28" s="31" t="str">
        <f aca="false">IF(AB28&gt;=Assumptions!B107,"Signal 6",IF(AB28&gt;=Assumptions!B106,"Signal 5",IF(AB28&gt;=Assumptions!B105,"Signal 4",IF(AB28&gt;=Assumptions!B104,"Signal 3",IF(AB28&gt;=Assumptions!B103,"Signal 2",IF(AB28&gt;=Assumptions!B102,"Signal 1","Pre-Signal 1"))))))</f>
        <v>Pre-Signal 1</v>
      </c>
      <c r="W28" s="29" t="n">
        <f aca="false">ROUND(AB28*Assumptions!B137*Assumptions!B138*Assumptions!B139*Assumptions!B136,0)</f>
        <v>141</v>
      </c>
      <c r="X28" s="29" t="n">
        <f aca="false">ROUND(AB28*Assumptions!B137*Assumptions!B65,0)</f>
        <v>23</v>
      </c>
      <c r="Y28" s="32" t="n">
        <f aca="false">ROUND(Y27*(1+Assumptions!B165),0)</f>
        <v>822</v>
      </c>
      <c r="Z28" s="33" t="n">
        <f aca="false">Assumptions!B157</f>
        <v>250</v>
      </c>
      <c r="AA28" s="32" t="n">
        <f aca="false">ROUND(Y28*Assumptions!B166,0)</f>
        <v>2</v>
      </c>
      <c r="AB28" s="34" t="n">
        <f aca="false">B28+Z28+AA28</f>
        <v>3628.0915962158</v>
      </c>
      <c r="AC28" s="35" t="n">
        <f aca="false">ROUND(IF(A28&gt;=Assumptions!B144,(IF(A28&gt;=25,Assumptions!B151,IF(A28&gt;=16,Assumptions!B150,Assumptions!B149))/1000*Assumptions!B146)+IF(A28&gt;=Assumptions!B145,(IF(A28&gt;=25,Assumptions!B151,IF(A28&gt;=16,Assumptions!B150,Assumptions!B149))*Assumptions!B152/1000*Assumptions!B147),0),0),0)</f>
        <v>43</v>
      </c>
      <c r="AD28" s="35" t="n">
        <f aca="false">IF(Y28&gt;=10000,Assumptions!B170,IF(Y28&gt;=5000,Assumptions!B169,IF(Y28&gt;=2000,Assumptions!B168,IF(Y28&gt;=500,Assumptions!B167,0))))</f>
        <v>5</v>
      </c>
    </row>
    <row r="29" customFormat="false" ht="15" hidden="false" customHeight="false" outlineLevel="0" collapsed="false">
      <c r="A29" s="36" t="n">
        <v>24</v>
      </c>
      <c r="B29" s="37" t="n">
        <f aca="false">B28*(1+Assumptions!B33)</f>
        <v>3646.17892391307</v>
      </c>
      <c r="C29" s="38" t="n">
        <f aca="false">ROUND(AB29*Assumptions!B25,0)</f>
        <v>78</v>
      </c>
      <c r="D29" s="38" t="n">
        <f aca="false">ROUND(AB29*Assumptions!B22,0)</f>
        <v>6</v>
      </c>
      <c r="E29" s="38" t="n">
        <f aca="false">E28+D29-F29</f>
        <v>39</v>
      </c>
      <c r="F29" s="38" t="n">
        <f aca="false">ROUND(E28*Assumptions!B43,0)</f>
        <v>3</v>
      </c>
      <c r="G29" s="38" t="n">
        <f aca="false">D29-F29</f>
        <v>3</v>
      </c>
      <c r="H29" s="39" t="n">
        <f aca="false">ROUND(E29*(Assumptions!B15*0.85+Assumptions!B11*0.15),0)</f>
        <v>448</v>
      </c>
      <c r="I29" s="39" t="n">
        <f aca="false">H29</f>
        <v>448</v>
      </c>
      <c r="J29" s="38" t="n">
        <f aca="false">ROUND(E29*Assumptions!B68,0)</f>
        <v>137</v>
      </c>
      <c r="K29" s="39" t="n">
        <f aca="false">ROUND(J29*Assumptions!B65,0)</f>
        <v>11</v>
      </c>
      <c r="L29" s="39" t="n">
        <f aca="false">Assumptions!B70+IF(E29&gt;Assumptions!B72,45,0)</f>
        <v>31</v>
      </c>
      <c r="M29" s="39" t="n">
        <f aca="false">Assumptions!B76+Assumptions!B77</f>
        <v>35</v>
      </c>
      <c r="N29" s="39" t="n">
        <f aca="false">Assumptions!B81+Assumptions!B82+Assumptions!B87/12+Assumptions!B148</f>
        <v>116</v>
      </c>
      <c r="O29" s="39" t="n">
        <f aca="false">ROUND(I29*Assumptions!B85+E29*Assumptions!B86+W29*Assumptions!B85+ROUND(AB29*Assumptions!B137*Assumptions!B138*Assumptions!B139,0)*Assumptions!B86,0)</f>
        <v>33</v>
      </c>
      <c r="P29" s="39" t="n">
        <f aca="false">K29+L29+M29+N29+O29+X29</f>
        <v>251</v>
      </c>
      <c r="Q29" s="39" t="n">
        <f aca="false">I29-P29</f>
        <v>197</v>
      </c>
      <c r="R29" s="39" t="n">
        <f aca="false">ROUND(AB29*Assumptions!B51*Assumptions!B52,0)</f>
        <v>1365</v>
      </c>
      <c r="S29" s="40" t="n">
        <f aca="false">I29+R29+W29+AC29+AD29</f>
        <v>2013</v>
      </c>
      <c r="T29" s="39" t="n">
        <f aca="false">IF(U29&lt;P29*3,0,IF(U29&lt;P29*6,ROUND((Q29+R29+W29+AC29+AD29)*0.75*Assumptions!B113,0),ROUND((Q29+R29+W29+AC29+AD29)*0.75*Assumptions!B114,0)))</f>
        <v>505</v>
      </c>
      <c r="U29" s="40" t="n">
        <f aca="false">U28+Q29+R29+W29+AC29+AD29</f>
        <v>13177</v>
      </c>
      <c r="V29" s="41" t="str">
        <f aca="false">IF(AB29&gt;=Assumptions!B107,"Signal 6",IF(AB29&gt;=Assumptions!B106,"Signal 5",IF(AB29&gt;=Assumptions!B105,"Signal 4",IF(AB29&gt;=Assumptions!B104,"Signal 3",IF(AB29&gt;=Assumptions!B103,"Signal 2",IF(AB29&gt;=Assumptions!B102,"Signal 1","Pre-Signal 1"))))))</f>
        <v>Pre-Signal 1</v>
      </c>
      <c r="W29" s="39" t="n">
        <f aca="false">ROUND(AB29*Assumptions!B137*Assumptions!B138*Assumptions!B139*Assumptions!B136,0)</f>
        <v>152</v>
      </c>
      <c r="X29" s="39" t="n">
        <f aca="false">ROUND(AB29*Assumptions!B137*Assumptions!B65,0)</f>
        <v>25</v>
      </c>
      <c r="Y29" s="32" t="n">
        <f aca="false">ROUND(Y28*(1+Assumptions!B165),0)</f>
        <v>904</v>
      </c>
      <c r="Z29" s="33" t="n">
        <f aca="false">Assumptions!B157</f>
        <v>250</v>
      </c>
      <c r="AA29" s="32" t="n">
        <f aca="false">ROUND(Y29*Assumptions!B166,0)</f>
        <v>3</v>
      </c>
      <c r="AB29" s="34" t="n">
        <f aca="false">B29+Z29+AA29</f>
        <v>3899.17892391307</v>
      </c>
      <c r="AC29" s="35" t="n">
        <f aca="false">ROUND(IF(A29&gt;=Assumptions!B144,(IF(A29&gt;=25,Assumptions!B151,IF(A29&gt;=16,Assumptions!B150,Assumptions!B149))/1000*Assumptions!B146)+IF(A29&gt;=Assumptions!B145,(IF(A29&gt;=25,Assumptions!B151,IF(A29&gt;=16,Assumptions!B150,Assumptions!B149))*Assumptions!B152/1000*Assumptions!B147),0),0),0)</f>
        <v>43</v>
      </c>
      <c r="AD29" s="35" t="n">
        <f aca="false">IF(Y29&gt;=10000,Assumptions!B170,IF(Y29&gt;=5000,Assumptions!B169,IF(Y29&gt;=2000,Assumptions!B168,IF(Y29&gt;=500,Assumptions!B167,0))))</f>
        <v>5</v>
      </c>
    </row>
    <row r="30" customFormat="false" ht="15" hidden="false" customHeight="false" outlineLevel="0" collapsed="false">
      <c r="A30" s="26" t="n">
        <v>25</v>
      </c>
      <c r="B30" s="27" t="n">
        <f aca="false">B29*(1+Assumptions!B33)</f>
        <v>3937.87323782611</v>
      </c>
      <c r="C30" s="28" t="n">
        <f aca="false">ROUND(AB30*Assumptions!B25,0)</f>
        <v>87</v>
      </c>
      <c r="D30" s="28" t="n">
        <f aca="false">ROUND(AB30*Assumptions!B22,0)</f>
        <v>7</v>
      </c>
      <c r="E30" s="28" t="n">
        <f aca="false">E29+D30-F30</f>
        <v>43</v>
      </c>
      <c r="F30" s="28" t="n">
        <f aca="false">ROUND(E29*Assumptions!B43,0)</f>
        <v>3</v>
      </c>
      <c r="G30" s="28" t="n">
        <f aca="false">D30-F30</f>
        <v>4</v>
      </c>
      <c r="H30" s="29" t="n">
        <f aca="false">ROUND(E30*(Assumptions!B15*0.85+Assumptions!B11*0.15),0)</f>
        <v>493</v>
      </c>
      <c r="I30" s="29" t="n">
        <f aca="false">H30</f>
        <v>493</v>
      </c>
      <c r="J30" s="28" t="n">
        <f aca="false">ROUND(E30*Assumptions!B68,0)</f>
        <v>151</v>
      </c>
      <c r="K30" s="29" t="n">
        <f aca="false">ROUND(J30*Assumptions!B65,0)</f>
        <v>12</v>
      </c>
      <c r="L30" s="29" t="n">
        <f aca="false">Assumptions!B70+IF(E30&gt;Assumptions!B72,45,0)</f>
        <v>31</v>
      </c>
      <c r="M30" s="29" t="n">
        <f aca="false">Assumptions!B76+Assumptions!B77</f>
        <v>35</v>
      </c>
      <c r="N30" s="29" t="n">
        <f aca="false">Assumptions!B81+Assumptions!B82+Assumptions!B87/12+Assumptions!B148</f>
        <v>116</v>
      </c>
      <c r="O30" s="29" t="n">
        <f aca="false">ROUND(I30*Assumptions!B85+E30*Assumptions!B86+W30*Assumptions!B85+ROUND(AB30*Assumptions!B137*Assumptions!B138*Assumptions!B139,0)*Assumptions!B86,0)</f>
        <v>36</v>
      </c>
      <c r="P30" s="29" t="n">
        <f aca="false">K30+L30+M30+N30+O30+X30</f>
        <v>258</v>
      </c>
      <c r="Q30" s="29" t="n">
        <f aca="false">I30-P30</f>
        <v>235</v>
      </c>
      <c r="R30" s="29" t="n">
        <f aca="false">ROUND(AB30*Assumptions!B51*Assumptions!B52,0)</f>
        <v>1519</v>
      </c>
      <c r="S30" s="30" t="n">
        <f aca="false">I30+R30+W30+AC30+AD30</f>
        <v>2262</v>
      </c>
      <c r="T30" s="29" t="n">
        <f aca="false">IF(U30&lt;P30*3,0,IF(U30&lt;P30*6,ROUND((Q30+R30+W30+AC30+AD30)*0.75*Assumptions!B113,0),ROUND((Q30+R30+W30+AC30+AD30)*0.75*Assumptions!B114,0)))</f>
        <v>574</v>
      </c>
      <c r="U30" s="30" t="n">
        <f aca="false">U29+Q30+R30+W30+AC30+AD30</f>
        <v>15181</v>
      </c>
      <c r="V30" s="31" t="str">
        <f aca="false">IF(AB30&gt;=Assumptions!B107,"Signal 6",IF(AB30&gt;=Assumptions!B106,"Signal 5",IF(AB30&gt;=Assumptions!B105,"Signal 4",IF(AB30&gt;=Assumptions!B104,"Signal 3",IF(AB30&gt;=Assumptions!B103,"Signal 2",IF(AB30&gt;=Assumptions!B102,"Signal 1","Pre-Signal 1"))))))</f>
        <v>Pre-Signal 1</v>
      </c>
      <c r="W30" s="29" t="n">
        <f aca="false">ROUND(AB30*Assumptions!B137*Assumptions!B138*Assumptions!B139*Assumptions!B136,0)</f>
        <v>169</v>
      </c>
      <c r="X30" s="29" t="n">
        <f aca="false">ROUND(AB30*Assumptions!B137*Assumptions!B65,0)</f>
        <v>28</v>
      </c>
      <c r="Y30" s="32" t="n">
        <f aca="false">ROUND(Y29*(1+Assumptions!B165),0)</f>
        <v>994</v>
      </c>
      <c r="Z30" s="33" t="n">
        <f aca="false">Assumptions!B158</f>
        <v>400</v>
      </c>
      <c r="AA30" s="32" t="n">
        <f aca="false">ROUND(Y30*Assumptions!B166,0)</f>
        <v>3</v>
      </c>
      <c r="AB30" s="34" t="n">
        <f aca="false">B30+Z30+AA30</f>
        <v>4340.87323782611</v>
      </c>
      <c r="AC30" s="35" t="n">
        <f aca="false">ROUND(IF(A30&gt;=Assumptions!B144,(IF(A30&gt;=25,Assumptions!B151,IF(A30&gt;=16,Assumptions!B150,Assumptions!B149))/1000*Assumptions!B146)+IF(A30&gt;=Assumptions!B145,(IF(A30&gt;=25,Assumptions!B151,IF(A30&gt;=16,Assumptions!B150,Assumptions!B149))*Assumptions!B152/1000*Assumptions!B147),0),0),0)</f>
        <v>76</v>
      </c>
      <c r="AD30" s="35" t="n">
        <f aca="false">IF(Y30&gt;=10000,Assumptions!B170,IF(Y30&gt;=5000,Assumptions!B169,IF(Y30&gt;=2000,Assumptions!B168,IF(Y30&gt;=500,Assumptions!B167,0))))</f>
        <v>5</v>
      </c>
    </row>
    <row r="31" customFormat="false" ht="15" hidden="false" customHeight="false" outlineLevel="0" collapsed="false">
      <c r="A31" s="36" t="n">
        <v>26</v>
      </c>
      <c r="B31" s="37" t="n">
        <f aca="false">B30*(1+Assumptions!B33)</f>
        <v>4252.9030968522</v>
      </c>
      <c r="C31" s="38" t="n">
        <f aca="false">ROUND(AB31*Assumptions!B25,0)</f>
        <v>93</v>
      </c>
      <c r="D31" s="38" t="n">
        <f aca="false">ROUND(AB31*Assumptions!B22,0)</f>
        <v>7</v>
      </c>
      <c r="E31" s="38" t="n">
        <f aca="false">E30+D31-F31</f>
        <v>47</v>
      </c>
      <c r="F31" s="38" t="n">
        <f aca="false">ROUND(E30*Assumptions!B43,0)</f>
        <v>3</v>
      </c>
      <c r="G31" s="38" t="n">
        <f aca="false">D31-F31</f>
        <v>4</v>
      </c>
      <c r="H31" s="39" t="n">
        <f aca="false">ROUND(E31*(Assumptions!B15*0.85+Assumptions!B11*0.15),0)</f>
        <v>539</v>
      </c>
      <c r="I31" s="39" t="n">
        <f aca="false">H31</f>
        <v>539</v>
      </c>
      <c r="J31" s="38" t="n">
        <f aca="false">ROUND(E31*Assumptions!B68,0)</f>
        <v>165</v>
      </c>
      <c r="K31" s="39" t="n">
        <f aca="false">ROUND(J31*Assumptions!B65,0)</f>
        <v>13</v>
      </c>
      <c r="L31" s="39" t="n">
        <f aca="false">Assumptions!B70+IF(E31&gt;Assumptions!B72,45,0)</f>
        <v>31</v>
      </c>
      <c r="M31" s="39" t="n">
        <f aca="false">Assumptions!B76+Assumptions!B77</f>
        <v>35</v>
      </c>
      <c r="N31" s="39" t="n">
        <f aca="false">Assumptions!B81+Assumptions!B82+Assumptions!B87/12+Assumptions!B148</f>
        <v>116</v>
      </c>
      <c r="O31" s="39" t="n">
        <f aca="false">ROUND(I31*Assumptions!B85+E31*Assumptions!B86+W31*Assumptions!B85+ROUND(AB31*Assumptions!B137*Assumptions!B138*Assumptions!B139,0)*Assumptions!B86,0)</f>
        <v>39</v>
      </c>
      <c r="P31" s="39" t="n">
        <f aca="false">K31+L31+M31+N31+O31+X31</f>
        <v>264</v>
      </c>
      <c r="Q31" s="39" t="n">
        <f aca="false">I31-P31</f>
        <v>275</v>
      </c>
      <c r="R31" s="39" t="n">
        <f aca="false">ROUND(AB31*Assumptions!B51*Assumptions!B52,0)</f>
        <v>1630</v>
      </c>
      <c r="S31" s="40" t="n">
        <f aca="false">I31+R31+W31+AC31+AD31</f>
        <v>2432</v>
      </c>
      <c r="T31" s="39" t="n">
        <f aca="false">IF(U31&lt;P31*3,0,IF(U31&lt;P31*6,ROUND((Q31+R31+W31+AC31+AD31)*0.75*Assumptions!B113,0),ROUND((Q31+R31+W31+AC31+AD31)*0.75*Assumptions!B114,0)))</f>
        <v>621</v>
      </c>
      <c r="U31" s="40" t="n">
        <f aca="false">U30+Q31+R31+W31+AC31+AD31</f>
        <v>17349</v>
      </c>
      <c r="V31" s="41" t="str">
        <f aca="false">IF(AB31&gt;=Assumptions!B107,"Signal 6",IF(AB31&gt;=Assumptions!B106,"Signal 5",IF(AB31&gt;=Assumptions!B105,"Signal 4",IF(AB31&gt;=Assumptions!B104,"Signal 3",IF(AB31&gt;=Assumptions!B103,"Signal 2",IF(AB31&gt;=Assumptions!B102,"Signal 1","Pre-Signal 1"))))))</f>
        <v>Pre-Signal 1</v>
      </c>
      <c r="W31" s="39" t="n">
        <f aca="false">ROUND(AB31*Assumptions!B137*Assumptions!B138*Assumptions!B139*Assumptions!B136,0)</f>
        <v>182</v>
      </c>
      <c r="X31" s="39" t="n">
        <f aca="false">ROUND(AB31*Assumptions!B137*Assumptions!B65,0)</f>
        <v>30</v>
      </c>
      <c r="Y31" s="32" t="n">
        <f aca="false">ROUND(Y30*(1+Assumptions!B165),0)</f>
        <v>1093</v>
      </c>
      <c r="Z31" s="33" t="n">
        <f aca="false">Assumptions!B158</f>
        <v>400</v>
      </c>
      <c r="AA31" s="32" t="n">
        <f aca="false">ROUND(Y31*Assumptions!B166,0)</f>
        <v>3</v>
      </c>
      <c r="AB31" s="34" t="n">
        <f aca="false">B31+Z31+AA31</f>
        <v>4655.9030968522</v>
      </c>
      <c r="AC31" s="35" t="n">
        <f aca="false">ROUND(IF(A31&gt;=Assumptions!B144,(IF(A31&gt;=25,Assumptions!B151,IF(A31&gt;=16,Assumptions!B150,Assumptions!B149))/1000*Assumptions!B146)+IF(A31&gt;=Assumptions!B145,(IF(A31&gt;=25,Assumptions!B151,IF(A31&gt;=16,Assumptions!B150,Assumptions!B149))*Assumptions!B152/1000*Assumptions!B147),0),0),0)</f>
        <v>76</v>
      </c>
      <c r="AD31" s="35" t="n">
        <f aca="false">IF(Y31&gt;=10000,Assumptions!B170,IF(Y31&gt;=5000,Assumptions!B169,IF(Y31&gt;=2000,Assumptions!B168,IF(Y31&gt;=500,Assumptions!B167,0))))</f>
        <v>5</v>
      </c>
    </row>
    <row r="32" customFormat="false" ht="15" hidden="false" customHeight="false" outlineLevel="0" collapsed="false">
      <c r="A32" s="26" t="n">
        <v>27</v>
      </c>
      <c r="B32" s="27" t="n">
        <f aca="false">B31*(1+Assumptions!B33)</f>
        <v>4593.13534460038</v>
      </c>
      <c r="C32" s="28" t="n">
        <f aca="false">ROUND(AB32*Assumptions!B25,0)</f>
        <v>100</v>
      </c>
      <c r="D32" s="28" t="n">
        <f aca="false">ROUND(AB32*Assumptions!B22,0)</f>
        <v>7</v>
      </c>
      <c r="E32" s="28" t="n">
        <f aca="false">E31+D32-F32</f>
        <v>50</v>
      </c>
      <c r="F32" s="28" t="n">
        <f aca="false">ROUND(E31*Assumptions!B43,0)</f>
        <v>4</v>
      </c>
      <c r="G32" s="28" t="n">
        <f aca="false">D32-F32</f>
        <v>3</v>
      </c>
      <c r="H32" s="29" t="n">
        <f aca="false">ROUND(E32*(Assumptions!B15*0.85+Assumptions!B11*0.15),0)</f>
        <v>574</v>
      </c>
      <c r="I32" s="29" t="n">
        <f aca="false">H32</f>
        <v>574</v>
      </c>
      <c r="J32" s="28" t="n">
        <f aca="false">ROUND(E32*Assumptions!B68,0)</f>
        <v>175</v>
      </c>
      <c r="K32" s="29" t="n">
        <f aca="false">ROUND(J32*Assumptions!B65,0)</f>
        <v>14</v>
      </c>
      <c r="L32" s="29" t="n">
        <f aca="false">Assumptions!B70+IF(E32&gt;Assumptions!B72,45,0)</f>
        <v>31</v>
      </c>
      <c r="M32" s="29" t="n">
        <f aca="false">Assumptions!B76+Assumptions!B77</f>
        <v>35</v>
      </c>
      <c r="N32" s="29" t="n">
        <f aca="false">Assumptions!B81+Assumptions!B82+Assumptions!B87/12+Assumptions!B148</f>
        <v>116</v>
      </c>
      <c r="O32" s="29" t="n">
        <f aca="false">ROUND(I32*Assumptions!B85+E32*Assumptions!B86+W32*Assumptions!B85+ROUND(AB32*Assumptions!B137*Assumptions!B138*Assumptions!B139,0)*Assumptions!B86,0)</f>
        <v>42</v>
      </c>
      <c r="P32" s="29" t="n">
        <f aca="false">K32+L32+M32+N32+O32+X32</f>
        <v>270</v>
      </c>
      <c r="Q32" s="29" t="n">
        <f aca="false">I32-P32</f>
        <v>304</v>
      </c>
      <c r="R32" s="29" t="n">
        <f aca="false">ROUND(AB32*Assumptions!B51*Assumptions!B52,0)</f>
        <v>1749</v>
      </c>
      <c r="S32" s="30" t="n">
        <f aca="false">I32+R32+W32+AC32+AD32</f>
        <v>2599</v>
      </c>
      <c r="T32" s="29" t="n">
        <f aca="false">IF(U32&lt;P32*3,0,IF(U32&lt;P32*6,ROUND((Q32+R32+W32+AC32+AD32)*0.75*Assumptions!B113,0),ROUND((Q32+R32+W32+AC32+AD32)*0.75*Assumptions!B114,0)))</f>
        <v>667</v>
      </c>
      <c r="U32" s="30" t="n">
        <f aca="false">U31+Q32+R32+W32+AC32+AD32</f>
        <v>19678</v>
      </c>
      <c r="V32" s="31" t="str">
        <f aca="false">IF(AB32&gt;=Assumptions!B107,"Signal 6",IF(AB32&gt;=Assumptions!B106,"Signal 5",IF(AB32&gt;=Assumptions!B105,"Signal 4",IF(AB32&gt;=Assumptions!B104,"Signal 3",IF(AB32&gt;=Assumptions!B103,"Signal 2",IF(AB32&gt;=Assumptions!B102,"Signal 1","Pre-Signal 1"))))))</f>
        <v>Pre-Signal 1</v>
      </c>
      <c r="W32" s="29" t="n">
        <f aca="false">ROUND(AB32*Assumptions!B137*Assumptions!B138*Assumptions!B139*Assumptions!B136,0)</f>
        <v>195</v>
      </c>
      <c r="X32" s="29" t="n">
        <f aca="false">ROUND(AB32*Assumptions!B137*Assumptions!B65,0)</f>
        <v>32</v>
      </c>
      <c r="Y32" s="32" t="n">
        <f aca="false">ROUND(Y31*(1+Assumptions!B165),0)</f>
        <v>1202</v>
      </c>
      <c r="Z32" s="33" t="n">
        <f aca="false">Assumptions!B158</f>
        <v>400</v>
      </c>
      <c r="AA32" s="32" t="n">
        <f aca="false">ROUND(Y32*Assumptions!B166,0)</f>
        <v>4</v>
      </c>
      <c r="AB32" s="34" t="n">
        <f aca="false">B32+Z32+AA32</f>
        <v>4997.13534460038</v>
      </c>
      <c r="AC32" s="35" t="n">
        <f aca="false">ROUND(IF(A32&gt;=Assumptions!B144,(IF(A32&gt;=25,Assumptions!B151,IF(A32&gt;=16,Assumptions!B150,Assumptions!B149))/1000*Assumptions!B146)+IF(A32&gt;=Assumptions!B145,(IF(A32&gt;=25,Assumptions!B151,IF(A32&gt;=16,Assumptions!B150,Assumptions!B149))*Assumptions!B152/1000*Assumptions!B147),0),0),0)</f>
        <v>76</v>
      </c>
      <c r="AD32" s="35" t="n">
        <f aca="false">IF(Y32&gt;=10000,Assumptions!B170,IF(Y32&gt;=5000,Assumptions!B169,IF(Y32&gt;=2000,Assumptions!B168,IF(Y32&gt;=500,Assumptions!B167,0))))</f>
        <v>5</v>
      </c>
    </row>
    <row r="33" customFormat="false" ht="15" hidden="false" customHeight="false" outlineLevel="0" collapsed="false">
      <c r="A33" s="36" t="n">
        <v>28</v>
      </c>
      <c r="B33" s="37" t="n">
        <f aca="false">B32*(1+Assumptions!B33)</f>
        <v>4960.58617216841</v>
      </c>
      <c r="C33" s="38" t="n">
        <f aca="false">ROUND(AB33*Assumptions!B25,0)</f>
        <v>107</v>
      </c>
      <c r="D33" s="38" t="n">
        <f aca="false">ROUND(AB33*Assumptions!B22,0)</f>
        <v>8</v>
      </c>
      <c r="E33" s="38" t="n">
        <f aca="false">E32+D33-F33</f>
        <v>54</v>
      </c>
      <c r="F33" s="38" t="n">
        <f aca="false">ROUND(E32*Assumptions!B43,0)</f>
        <v>4</v>
      </c>
      <c r="G33" s="38" t="n">
        <f aca="false">D33-F33</f>
        <v>4</v>
      </c>
      <c r="H33" s="39" t="n">
        <f aca="false">ROUND(E33*(Assumptions!B15*0.85+Assumptions!B11*0.15),0)</f>
        <v>620</v>
      </c>
      <c r="I33" s="39" t="n">
        <f aca="false">H33</f>
        <v>620</v>
      </c>
      <c r="J33" s="38" t="n">
        <f aca="false">ROUND(E33*Assumptions!B68,0)</f>
        <v>189</v>
      </c>
      <c r="K33" s="39" t="n">
        <f aca="false">ROUND(J33*Assumptions!B65,0)</f>
        <v>15</v>
      </c>
      <c r="L33" s="39" t="n">
        <f aca="false">Assumptions!B70+IF(E33&gt;Assumptions!B72,45,0)</f>
        <v>31</v>
      </c>
      <c r="M33" s="39" t="n">
        <f aca="false">Assumptions!B76+Assumptions!B77</f>
        <v>35</v>
      </c>
      <c r="N33" s="39" t="n">
        <f aca="false">Assumptions!B81+Assumptions!B82+Assumptions!B87/12+Assumptions!B148</f>
        <v>116</v>
      </c>
      <c r="O33" s="39" t="n">
        <f aca="false">ROUND(I33*Assumptions!B85+E33*Assumptions!B86+W33*Assumptions!B85+ROUND(AB33*Assumptions!B137*Assumptions!B138*Assumptions!B139,0)*Assumptions!B86,0)</f>
        <v>45</v>
      </c>
      <c r="P33" s="39" t="n">
        <f aca="false">K33+L33+M33+N33+O33+X33</f>
        <v>276</v>
      </c>
      <c r="Q33" s="39" t="n">
        <f aca="false">I33-P33</f>
        <v>344</v>
      </c>
      <c r="R33" s="39" t="n">
        <f aca="false">ROUND(AB33*Assumptions!B51*Assumptions!B52,0)</f>
        <v>1878</v>
      </c>
      <c r="S33" s="40" t="n">
        <f aca="false">I33+R33+W33+AC33+AD33</f>
        <v>2788</v>
      </c>
      <c r="T33" s="39" t="n">
        <f aca="false">IF(U33&lt;P33*3,0,IF(U33&lt;P33*6,ROUND((Q33+R33+W33+AC33+AD33)*0.75*Assumptions!B113,0),ROUND((Q33+R33+W33+AC33+AD33)*0.75*Assumptions!B114,0)))</f>
        <v>720</v>
      </c>
      <c r="U33" s="40" t="n">
        <f aca="false">U32+Q33+R33+W33+AC33+AD33</f>
        <v>22190</v>
      </c>
      <c r="V33" s="41" t="str">
        <f aca="false">IF(AB33&gt;=Assumptions!B107,"Signal 6",IF(AB33&gt;=Assumptions!B106,"Signal 5",IF(AB33&gt;=Assumptions!B105,"Signal 4",IF(AB33&gt;=Assumptions!B104,"Signal 3",IF(AB33&gt;=Assumptions!B103,"Signal 2",IF(AB33&gt;=Assumptions!B102,"Signal 1","Pre-Signal 1"))))))</f>
        <v>Pre-Signal 1</v>
      </c>
      <c r="W33" s="39" t="n">
        <f aca="false">ROUND(AB33*Assumptions!B137*Assumptions!B138*Assumptions!B139*Assumptions!B136,0)</f>
        <v>209</v>
      </c>
      <c r="X33" s="39" t="n">
        <f aca="false">ROUND(AB33*Assumptions!B137*Assumptions!B65,0)</f>
        <v>34</v>
      </c>
      <c r="Y33" s="32" t="n">
        <f aca="false">ROUND(Y32*(1+Assumptions!B165),0)</f>
        <v>1322</v>
      </c>
      <c r="Z33" s="33" t="n">
        <f aca="false">Assumptions!B158</f>
        <v>400</v>
      </c>
      <c r="AA33" s="32" t="n">
        <f aca="false">ROUND(Y33*Assumptions!B166,0)</f>
        <v>4</v>
      </c>
      <c r="AB33" s="34" t="n">
        <f aca="false">B33+Z33+AA33</f>
        <v>5364.58617216841</v>
      </c>
      <c r="AC33" s="35" t="n">
        <f aca="false">ROUND(IF(A33&gt;=Assumptions!B144,(IF(A33&gt;=25,Assumptions!B151,IF(A33&gt;=16,Assumptions!B150,Assumptions!B149))/1000*Assumptions!B146)+IF(A33&gt;=Assumptions!B145,(IF(A33&gt;=25,Assumptions!B151,IF(A33&gt;=16,Assumptions!B150,Assumptions!B149))*Assumptions!B152/1000*Assumptions!B147),0),0),0)</f>
        <v>76</v>
      </c>
      <c r="AD33" s="35" t="n">
        <f aca="false">IF(Y33&gt;=10000,Assumptions!B170,IF(Y33&gt;=5000,Assumptions!B169,IF(Y33&gt;=2000,Assumptions!B168,IF(Y33&gt;=500,Assumptions!B167,0))))</f>
        <v>5</v>
      </c>
    </row>
    <row r="34" customFormat="false" ht="15" hidden="false" customHeight="false" outlineLevel="0" collapsed="false">
      <c r="A34" s="26" t="n">
        <v>29</v>
      </c>
      <c r="B34" s="27" t="n">
        <f aca="false">B33*(1+Assumptions!B33)</f>
        <v>5357.43306594188</v>
      </c>
      <c r="C34" s="28" t="n">
        <f aca="false">ROUND(AB34*Assumptions!B25,0)</f>
        <v>115</v>
      </c>
      <c r="D34" s="28" t="n">
        <f aca="false">ROUND(AB34*Assumptions!B22,0)</f>
        <v>9</v>
      </c>
      <c r="E34" s="28" t="n">
        <f aca="false">E33+D34-F34</f>
        <v>59</v>
      </c>
      <c r="F34" s="28" t="n">
        <f aca="false">ROUND(E33*Assumptions!B43,0)</f>
        <v>4</v>
      </c>
      <c r="G34" s="28" t="n">
        <f aca="false">D34-F34</f>
        <v>5</v>
      </c>
      <c r="H34" s="29" t="n">
        <f aca="false">ROUND(E34*(Assumptions!B15*0.85+Assumptions!B11*0.15),0)</f>
        <v>677</v>
      </c>
      <c r="I34" s="29" t="n">
        <f aca="false">H34</f>
        <v>677</v>
      </c>
      <c r="J34" s="28" t="n">
        <f aca="false">ROUND(E34*Assumptions!B68,0)</f>
        <v>207</v>
      </c>
      <c r="K34" s="29" t="n">
        <f aca="false">ROUND(J34*Assumptions!B65,0)</f>
        <v>17</v>
      </c>
      <c r="L34" s="29" t="n">
        <f aca="false">Assumptions!B70+IF(E34&gt;Assumptions!B72,45,0)</f>
        <v>31</v>
      </c>
      <c r="M34" s="29" t="n">
        <f aca="false">Assumptions!B76+Assumptions!B77</f>
        <v>35</v>
      </c>
      <c r="N34" s="29" t="n">
        <f aca="false">Assumptions!B81+Assumptions!B82+Assumptions!B87/12+Assumptions!B148</f>
        <v>116</v>
      </c>
      <c r="O34" s="29" t="n">
        <f aca="false">ROUND(I34*Assumptions!B85+E34*Assumptions!B86+W34*Assumptions!B85+ROUND(AB34*Assumptions!B137*Assumptions!B138*Assumptions!B139,0)*Assumptions!B86,0)</f>
        <v>49</v>
      </c>
      <c r="P34" s="29" t="n">
        <f aca="false">K34+L34+M34+N34+O34+X34</f>
        <v>285</v>
      </c>
      <c r="Q34" s="29" t="n">
        <f aca="false">I34-P34</f>
        <v>392</v>
      </c>
      <c r="R34" s="29" t="n">
        <f aca="false">ROUND(AB34*Assumptions!B51*Assumptions!B52,0)</f>
        <v>2017</v>
      </c>
      <c r="S34" s="30" t="n">
        <f aca="false">I34+R34+W34+AC34+AD34</f>
        <v>3000</v>
      </c>
      <c r="T34" s="29" t="n">
        <f aca="false">IF(U34&lt;P34*3,0,IF(U34&lt;P34*6,ROUND((Q34+R34+W34+AC34+AD34)*0.75*Assumptions!B113,0),ROUND((Q34+R34+W34+AC34+AD34)*0.75*Assumptions!B114,0)))</f>
        <v>778</v>
      </c>
      <c r="U34" s="30" t="n">
        <f aca="false">U33+Q34+R34+W34+AC34+AD34</f>
        <v>24905</v>
      </c>
      <c r="V34" s="31" t="str">
        <f aca="false">IF(AB34&gt;=Assumptions!B107,"Signal 6",IF(AB34&gt;=Assumptions!B106,"Signal 5",IF(AB34&gt;=Assumptions!B105,"Signal 4",IF(AB34&gt;=Assumptions!B104,"Signal 3",IF(AB34&gt;=Assumptions!B103,"Signal 2",IF(AB34&gt;=Assumptions!B102,"Signal 1","Pre-Signal 1"))))))</f>
        <v>Pre-Signal 1</v>
      </c>
      <c r="W34" s="29" t="n">
        <f aca="false">ROUND(AB34*Assumptions!B137*Assumptions!B138*Assumptions!B139*Assumptions!B136,0)</f>
        <v>225</v>
      </c>
      <c r="X34" s="29" t="n">
        <f aca="false">ROUND(AB34*Assumptions!B137*Assumptions!B65,0)</f>
        <v>37</v>
      </c>
      <c r="Y34" s="32" t="n">
        <f aca="false">ROUND(Y33*(1+Assumptions!B165),0)</f>
        <v>1454</v>
      </c>
      <c r="Z34" s="33" t="n">
        <f aca="false">Assumptions!B158</f>
        <v>400</v>
      </c>
      <c r="AA34" s="32" t="n">
        <f aca="false">ROUND(Y34*Assumptions!B166,0)</f>
        <v>4</v>
      </c>
      <c r="AB34" s="34" t="n">
        <f aca="false">B34+Z34+AA34</f>
        <v>5761.43306594188</v>
      </c>
      <c r="AC34" s="35" t="n">
        <f aca="false">ROUND(IF(A34&gt;=Assumptions!B144,(IF(A34&gt;=25,Assumptions!B151,IF(A34&gt;=16,Assumptions!B150,Assumptions!B149))/1000*Assumptions!B146)+IF(A34&gt;=Assumptions!B145,(IF(A34&gt;=25,Assumptions!B151,IF(A34&gt;=16,Assumptions!B150,Assumptions!B149))*Assumptions!B152/1000*Assumptions!B147),0),0),0)</f>
        <v>76</v>
      </c>
      <c r="AD34" s="35" t="n">
        <f aca="false">IF(Y34&gt;=10000,Assumptions!B170,IF(Y34&gt;=5000,Assumptions!B169,IF(Y34&gt;=2000,Assumptions!B168,IF(Y34&gt;=500,Assumptions!B167,0))))</f>
        <v>5</v>
      </c>
    </row>
    <row r="35" customFormat="false" ht="15" hidden="false" customHeight="false" outlineLevel="0" collapsed="false">
      <c r="A35" s="36" t="n">
        <v>30</v>
      </c>
      <c r="B35" s="37" t="n">
        <f aca="false">B34*(1+Assumptions!B33)</f>
        <v>5786.02771121723</v>
      </c>
      <c r="C35" s="38" t="n">
        <f aca="false">ROUND(AB35*Assumptions!B25,0)</f>
        <v>124</v>
      </c>
      <c r="D35" s="38" t="n">
        <f aca="false">ROUND(AB35*Assumptions!B22,0)</f>
        <v>9</v>
      </c>
      <c r="E35" s="38" t="n">
        <f aca="false">E34+D35-F35</f>
        <v>63</v>
      </c>
      <c r="F35" s="38" t="n">
        <f aca="false">ROUND(E34*Assumptions!B43,0)</f>
        <v>5</v>
      </c>
      <c r="G35" s="38" t="n">
        <f aca="false">D35-F35</f>
        <v>4</v>
      </c>
      <c r="H35" s="39" t="n">
        <f aca="false">ROUND(E35*(Assumptions!B15*0.85+Assumptions!B11*0.15),0)</f>
        <v>723</v>
      </c>
      <c r="I35" s="39" t="n">
        <f aca="false">H35</f>
        <v>723</v>
      </c>
      <c r="J35" s="38" t="n">
        <f aca="false">ROUND(E35*Assumptions!B68,0)</f>
        <v>221</v>
      </c>
      <c r="K35" s="39" t="n">
        <f aca="false">ROUND(J35*Assumptions!B65,0)</f>
        <v>18</v>
      </c>
      <c r="L35" s="39" t="n">
        <f aca="false">Assumptions!B70+IF(E35&gt;Assumptions!B72,45,0)</f>
        <v>31</v>
      </c>
      <c r="M35" s="39" t="n">
        <f aca="false">Assumptions!B76+Assumptions!B77</f>
        <v>35</v>
      </c>
      <c r="N35" s="39" t="n">
        <f aca="false">Assumptions!B81+Assumptions!B82+Assumptions!B87/12+Assumptions!B148</f>
        <v>116</v>
      </c>
      <c r="O35" s="39" t="n">
        <f aca="false">ROUND(I35*Assumptions!B85+E35*Assumptions!B86+W35*Assumptions!B85+ROUND(AB35*Assumptions!B137*Assumptions!B138*Assumptions!B139,0)*Assumptions!B86,0)</f>
        <v>53</v>
      </c>
      <c r="P35" s="39" t="n">
        <f aca="false">K35+L35+M35+N35+O35+X35</f>
        <v>293</v>
      </c>
      <c r="Q35" s="39" t="n">
        <f aca="false">I35-P35</f>
        <v>430</v>
      </c>
      <c r="R35" s="39" t="n">
        <f aca="false">ROUND(AB35*Assumptions!B51*Assumptions!B52,0)</f>
        <v>2167</v>
      </c>
      <c r="S35" s="40" t="n">
        <f aca="false">I35+R35+W35+AC35+AD35</f>
        <v>3212</v>
      </c>
      <c r="T35" s="39" t="n">
        <f aca="false">IF(U35&lt;P35*3,0,IF(U35&lt;P35*6,ROUND((Q35+R35+W35+AC35+AD35)*0.75*Assumptions!B113,0),ROUND((Q35+R35+W35+AC35+AD35)*0.75*Assumptions!B114,0)))</f>
        <v>836</v>
      </c>
      <c r="U35" s="40" t="n">
        <f aca="false">U34+Q35+R35+W35+AC35+AD35</f>
        <v>27824</v>
      </c>
      <c r="V35" s="41" t="str">
        <f aca="false">IF(AB35&gt;=Assumptions!B107,"Signal 6",IF(AB35&gt;=Assumptions!B106,"Signal 5",IF(AB35&gt;=Assumptions!B105,"Signal 4",IF(AB35&gt;=Assumptions!B104,"Signal 3",IF(AB35&gt;=Assumptions!B103,"Signal 2",IF(AB35&gt;=Assumptions!B102,"Signal 1","Pre-Signal 1"))))))</f>
        <v>Pre-Signal 1</v>
      </c>
      <c r="W35" s="39" t="n">
        <f aca="false">ROUND(AB35*Assumptions!B137*Assumptions!B138*Assumptions!B139*Assumptions!B136,0)</f>
        <v>241</v>
      </c>
      <c r="X35" s="39" t="n">
        <f aca="false">ROUND(AB35*Assumptions!B137*Assumptions!B65,0)</f>
        <v>40</v>
      </c>
      <c r="Y35" s="32" t="n">
        <f aca="false">ROUND(Y34*(1+Assumptions!B165),0)</f>
        <v>1599</v>
      </c>
      <c r="Z35" s="33" t="n">
        <f aca="false">Assumptions!B158</f>
        <v>400</v>
      </c>
      <c r="AA35" s="32" t="n">
        <f aca="false">ROUND(Y35*Assumptions!B166,0)</f>
        <v>5</v>
      </c>
      <c r="AB35" s="34" t="n">
        <f aca="false">B35+Z35+AA35</f>
        <v>6191.02771121723</v>
      </c>
      <c r="AC35" s="35" t="n">
        <f aca="false">ROUND(IF(A35&gt;=Assumptions!B144,(IF(A35&gt;=25,Assumptions!B151,IF(A35&gt;=16,Assumptions!B150,Assumptions!B149))/1000*Assumptions!B146)+IF(A35&gt;=Assumptions!B145,(IF(A35&gt;=25,Assumptions!B151,IF(A35&gt;=16,Assumptions!B150,Assumptions!B149))*Assumptions!B152/1000*Assumptions!B147),0),0),0)</f>
        <v>76</v>
      </c>
      <c r="AD35" s="35" t="n">
        <f aca="false">IF(Y35&gt;=10000,Assumptions!B170,IF(Y35&gt;=5000,Assumptions!B169,IF(Y35&gt;=2000,Assumptions!B168,IF(Y35&gt;=500,Assumptions!B167,0))))</f>
        <v>5</v>
      </c>
    </row>
    <row r="36" customFormat="false" ht="15" hidden="false" customHeight="false" outlineLevel="0" collapsed="false">
      <c r="A36" s="26" t="n">
        <v>31</v>
      </c>
      <c r="B36" s="27" t="n">
        <f aca="false">B35*(1+Assumptions!B33)</f>
        <v>6248.90992811461</v>
      </c>
      <c r="C36" s="28" t="n">
        <f aca="false">ROUND(AB36*Assumptions!B25,0)</f>
        <v>133</v>
      </c>
      <c r="D36" s="28" t="n">
        <f aca="false">ROUND(AB36*Assumptions!B22,0)</f>
        <v>10</v>
      </c>
      <c r="E36" s="28" t="n">
        <f aca="false">E35+D36-F36</f>
        <v>68</v>
      </c>
      <c r="F36" s="28" t="n">
        <f aca="false">ROUND(E35*Assumptions!B43,0)</f>
        <v>5</v>
      </c>
      <c r="G36" s="28" t="n">
        <f aca="false">D36-F36</f>
        <v>5</v>
      </c>
      <c r="H36" s="29" t="n">
        <f aca="false">ROUND(E36*(Assumptions!B15*0.85+Assumptions!B11*0.15),0)</f>
        <v>780</v>
      </c>
      <c r="I36" s="29" t="n">
        <f aca="false">H36</f>
        <v>780</v>
      </c>
      <c r="J36" s="28" t="n">
        <f aca="false">ROUND(E36*Assumptions!B68,0)</f>
        <v>238</v>
      </c>
      <c r="K36" s="29" t="n">
        <f aca="false">ROUND(J36*Assumptions!B65,0)</f>
        <v>19</v>
      </c>
      <c r="L36" s="29" t="n">
        <f aca="false">Assumptions!B70+IF(E36&gt;Assumptions!B72,45,0)</f>
        <v>31</v>
      </c>
      <c r="M36" s="29" t="n">
        <f aca="false">Assumptions!B76+Assumptions!B77</f>
        <v>35</v>
      </c>
      <c r="N36" s="29" t="n">
        <f aca="false">Assumptions!B81+Assumptions!B82+Assumptions!B87/12+Assumptions!B148</f>
        <v>116</v>
      </c>
      <c r="O36" s="29" t="n">
        <f aca="false">ROUND(I36*Assumptions!B85+E36*Assumptions!B86+W36*Assumptions!B85+ROUND(AB36*Assumptions!B137*Assumptions!B138*Assumptions!B139,0)*Assumptions!B86,0)</f>
        <v>57</v>
      </c>
      <c r="P36" s="29" t="n">
        <f aca="false">K36+L36+M36+N36+O36+X36</f>
        <v>301</v>
      </c>
      <c r="Q36" s="29" t="n">
        <f aca="false">I36-P36</f>
        <v>479</v>
      </c>
      <c r="R36" s="29" t="n">
        <f aca="false">ROUND(AB36*Assumptions!B51*Assumptions!B52,0)</f>
        <v>2329</v>
      </c>
      <c r="S36" s="30" t="n">
        <f aca="false">I36+R36+W36+AC36+AD36</f>
        <v>3450</v>
      </c>
      <c r="T36" s="29" t="n">
        <f aca="false">IF(U36&lt;P36*3,0,IF(U36&lt;P36*6,ROUND((Q36+R36+W36+AC36+AD36)*0.75*Assumptions!B113,0),ROUND((Q36+R36+W36+AC36+AD36)*0.75*Assumptions!B114,0)))</f>
        <v>902</v>
      </c>
      <c r="U36" s="30" t="n">
        <f aca="false">U35+Q36+R36+W36+AC36+AD36</f>
        <v>30973</v>
      </c>
      <c r="V36" s="31" t="str">
        <f aca="false">IF(AB36&gt;=Assumptions!B107,"Signal 6",IF(AB36&gt;=Assumptions!B106,"Signal 5",IF(AB36&gt;=Assumptions!B105,"Signal 4",IF(AB36&gt;=Assumptions!B104,"Signal 3",IF(AB36&gt;=Assumptions!B103,"Signal 2",IF(AB36&gt;=Assumptions!B102,"Signal 1","Pre-Signal 1"))))))</f>
        <v>Pre-Signal 1</v>
      </c>
      <c r="W36" s="29" t="n">
        <f aca="false">ROUND(AB36*Assumptions!B137*Assumptions!B138*Assumptions!B139*Assumptions!B136,0)</f>
        <v>260</v>
      </c>
      <c r="X36" s="29" t="n">
        <f aca="false">ROUND(AB36*Assumptions!B137*Assumptions!B65,0)</f>
        <v>43</v>
      </c>
      <c r="Y36" s="32" t="n">
        <f aca="false">ROUND(Y35*(1+Assumptions!B165),0)</f>
        <v>1759</v>
      </c>
      <c r="Z36" s="33" t="n">
        <f aca="false">Assumptions!B158</f>
        <v>400</v>
      </c>
      <c r="AA36" s="32" t="n">
        <f aca="false">ROUND(Y36*Assumptions!B166,0)</f>
        <v>5</v>
      </c>
      <c r="AB36" s="34" t="n">
        <f aca="false">B36+Z36+AA36</f>
        <v>6653.90992811461</v>
      </c>
      <c r="AC36" s="35" t="n">
        <f aca="false">ROUND(IF(A36&gt;=Assumptions!B144,(IF(A36&gt;=25,Assumptions!B151,IF(A36&gt;=16,Assumptions!B150,Assumptions!B149))/1000*Assumptions!B146)+IF(A36&gt;=Assumptions!B145,(IF(A36&gt;=25,Assumptions!B151,IF(A36&gt;=16,Assumptions!B150,Assumptions!B149))*Assumptions!B152/1000*Assumptions!B147),0),0),0)</f>
        <v>76</v>
      </c>
      <c r="AD36" s="35" t="n">
        <f aca="false">IF(Y36&gt;=10000,Assumptions!B170,IF(Y36&gt;=5000,Assumptions!B169,IF(Y36&gt;=2000,Assumptions!B168,IF(Y36&gt;=500,Assumptions!B167,0))))</f>
        <v>5</v>
      </c>
    </row>
    <row r="37" customFormat="false" ht="15" hidden="false" customHeight="false" outlineLevel="0" collapsed="false">
      <c r="A37" s="36" t="n">
        <v>32</v>
      </c>
      <c r="B37" s="37" t="n">
        <f aca="false">B36*(1+Assumptions!B33)</f>
        <v>6748.82272236378</v>
      </c>
      <c r="C37" s="38" t="n">
        <f aca="false">ROUND(AB37*Assumptions!B25,0)</f>
        <v>143</v>
      </c>
      <c r="D37" s="38" t="n">
        <f aca="false">ROUND(AB37*Assumptions!B22,0)</f>
        <v>11</v>
      </c>
      <c r="E37" s="38" t="n">
        <f aca="false">E36+D37-F37</f>
        <v>74</v>
      </c>
      <c r="F37" s="38" t="n">
        <f aca="false">ROUND(E36*Assumptions!B43,0)</f>
        <v>5</v>
      </c>
      <c r="G37" s="38" t="n">
        <f aca="false">D37-F37</f>
        <v>6</v>
      </c>
      <c r="H37" s="39" t="n">
        <f aca="false">ROUND(E37*(Assumptions!B15*0.85+Assumptions!B11*0.15),0)</f>
        <v>849</v>
      </c>
      <c r="I37" s="39" t="n">
        <f aca="false">H37</f>
        <v>849</v>
      </c>
      <c r="J37" s="38" t="n">
        <f aca="false">ROUND(E37*Assumptions!B68,0)</f>
        <v>259</v>
      </c>
      <c r="K37" s="39" t="n">
        <f aca="false">ROUND(J37*Assumptions!B65,0)</f>
        <v>21</v>
      </c>
      <c r="L37" s="39" t="n">
        <f aca="false">Assumptions!B70+IF(E37&gt;Assumptions!B72,45,0)</f>
        <v>31</v>
      </c>
      <c r="M37" s="39" t="n">
        <f aca="false">Assumptions!B76+Assumptions!B77</f>
        <v>35</v>
      </c>
      <c r="N37" s="39" t="n">
        <f aca="false">Assumptions!B81+Assumptions!B82+Assumptions!B87/12+Assumptions!B148</f>
        <v>116</v>
      </c>
      <c r="O37" s="39" t="n">
        <f aca="false">ROUND(I37*Assumptions!B85+E37*Assumptions!B86+W37*Assumptions!B85+ROUND(AB37*Assumptions!B137*Assumptions!B138*Assumptions!B139,0)*Assumptions!B86,0)</f>
        <v>61</v>
      </c>
      <c r="P37" s="39" t="n">
        <f aca="false">K37+L37+M37+N37+O37+X37</f>
        <v>310</v>
      </c>
      <c r="Q37" s="39" t="n">
        <f aca="false">I37-P37</f>
        <v>539</v>
      </c>
      <c r="R37" s="39" t="n">
        <f aca="false">ROUND(AB37*Assumptions!B51*Assumptions!B52,0)</f>
        <v>2504</v>
      </c>
      <c r="S37" s="40" t="n">
        <f aca="false">I37+R37+W37+AC37+AD37</f>
        <v>3713</v>
      </c>
      <c r="T37" s="39" t="n">
        <f aca="false">IF(U37&lt;P37*3,0,IF(U37&lt;P37*6,ROUND((Q37+R37+W37+AC37+AD37)*0.75*Assumptions!B113,0),ROUND((Q37+R37+W37+AC37+AD37)*0.75*Assumptions!B114,0)))</f>
        <v>975</v>
      </c>
      <c r="U37" s="40" t="n">
        <f aca="false">U36+Q37+R37+W37+AC37+AD37</f>
        <v>34376</v>
      </c>
      <c r="V37" s="41" t="str">
        <f aca="false">IF(AB37&gt;=Assumptions!B107,"Signal 6",IF(AB37&gt;=Assumptions!B106,"Signal 5",IF(AB37&gt;=Assumptions!B105,"Signal 4",IF(AB37&gt;=Assumptions!B104,"Signal 3",IF(AB37&gt;=Assumptions!B103,"Signal 2",IF(AB37&gt;=Assumptions!B102,"Signal 1","Pre-Signal 1"))))))</f>
        <v>Pre-Signal 1</v>
      </c>
      <c r="W37" s="39" t="n">
        <f aca="false">ROUND(AB37*Assumptions!B137*Assumptions!B138*Assumptions!B139*Assumptions!B136,0)</f>
        <v>279</v>
      </c>
      <c r="X37" s="39" t="n">
        <f aca="false">ROUND(AB37*Assumptions!B137*Assumptions!B65,0)</f>
        <v>46</v>
      </c>
      <c r="Y37" s="32" t="n">
        <f aca="false">ROUND(Y36*(1+Assumptions!B165),0)</f>
        <v>1935</v>
      </c>
      <c r="Z37" s="33" t="n">
        <f aca="false">Assumptions!B158</f>
        <v>400</v>
      </c>
      <c r="AA37" s="32" t="n">
        <f aca="false">ROUND(Y37*Assumptions!B166,0)</f>
        <v>6</v>
      </c>
      <c r="AB37" s="34" t="n">
        <f aca="false">B37+Z37+AA37</f>
        <v>7154.82272236378</v>
      </c>
      <c r="AC37" s="35" t="n">
        <f aca="false">ROUND(IF(A37&gt;=Assumptions!B144,(IF(A37&gt;=25,Assumptions!B151,IF(A37&gt;=16,Assumptions!B150,Assumptions!B149))/1000*Assumptions!B146)+IF(A37&gt;=Assumptions!B145,(IF(A37&gt;=25,Assumptions!B151,IF(A37&gt;=16,Assumptions!B150,Assumptions!B149))*Assumptions!B152/1000*Assumptions!B147),0),0),0)</f>
        <v>76</v>
      </c>
      <c r="AD37" s="35" t="n">
        <f aca="false">IF(Y37&gt;=10000,Assumptions!B170,IF(Y37&gt;=5000,Assumptions!B169,IF(Y37&gt;=2000,Assumptions!B168,IF(Y37&gt;=500,Assumptions!B167,0))))</f>
        <v>5</v>
      </c>
    </row>
    <row r="38" customFormat="false" ht="15" hidden="false" customHeight="false" outlineLevel="0" collapsed="false">
      <c r="A38" s="26" t="n">
        <v>33</v>
      </c>
      <c r="B38" s="27" t="n">
        <f aca="false">B37*(1+Assumptions!B33)</f>
        <v>7288.72854015289</v>
      </c>
      <c r="C38" s="28" t="n">
        <f aca="false">ROUND(AB38*Assumptions!B25,0)</f>
        <v>154</v>
      </c>
      <c r="D38" s="28" t="n">
        <f aca="false">ROUND(AB38*Assumptions!B22,0)</f>
        <v>12</v>
      </c>
      <c r="E38" s="28" t="n">
        <f aca="false">E37+D38-F38</f>
        <v>80</v>
      </c>
      <c r="F38" s="28" t="n">
        <f aca="false">ROUND(E37*Assumptions!B43,0)</f>
        <v>6</v>
      </c>
      <c r="G38" s="28" t="n">
        <f aca="false">D38-F38</f>
        <v>6</v>
      </c>
      <c r="H38" s="29" t="n">
        <f aca="false">ROUND(E38*(Assumptions!B15*0.85+Assumptions!B11*0.15),0)</f>
        <v>918</v>
      </c>
      <c r="I38" s="29" t="n">
        <f aca="false">H38</f>
        <v>918</v>
      </c>
      <c r="J38" s="28" t="n">
        <f aca="false">ROUND(E38*Assumptions!B68,0)</f>
        <v>280</v>
      </c>
      <c r="K38" s="29" t="n">
        <f aca="false">ROUND(J38*Assumptions!B65,0)</f>
        <v>22</v>
      </c>
      <c r="L38" s="29" t="n">
        <f aca="false">Assumptions!B70+IF(E38&gt;Assumptions!B72,45,0)</f>
        <v>31</v>
      </c>
      <c r="M38" s="29" t="n">
        <f aca="false">Assumptions!B76+Assumptions!B77</f>
        <v>35</v>
      </c>
      <c r="N38" s="29" t="n">
        <f aca="false">Assumptions!B81+Assumptions!B82+Assumptions!B87/12+Assumptions!B148</f>
        <v>116</v>
      </c>
      <c r="O38" s="29" t="n">
        <f aca="false">ROUND(I38*Assumptions!B85+E38*Assumptions!B86+W38*Assumptions!B85+ROUND(AB38*Assumptions!B137*Assumptions!B138*Assumptions!B139,0)*Assumptions!B86,0)</f>
        <v>66</v>
      </c>
      <c r="P38" s="29" t="n">
        <f aca="false">K38+L38+M38+N38+O38+X38</f>
        <v>319</v>
      </c>
      <c r="Q38" s="29" t="n">
        <f aca="false">I38-P38</f>
        <v>599</v>
      </c>
      <c r="R38" s="29" t="n">
        <f aca="false">ROUND(AB38*Assumptions!B51*Assumptions!B52,0)</f>
        <v>2693</v>
      </c>
      <c r="S38" s="30" t="n">
        <f aca="false">I38+R38+W38+AC38+AD38</f>
        <v>4007</v>
      </c>
      <c r="T38" s="29" t="n">
        <f aca="false">IF(U38&lt;P38*3,0,IF(U38&lt;P38*6,ROUND((Q38+R38+W38+AC38+AD38)*0.75*Assumptions!B113,0),ROUND((Q38+R38+W38+AC38+AD38)*0.75*Assumptions!B114,0)))</f>
        <v>1057</v>
      </c>
      <c r="U38" s="30" t="n">
        <f aca="false">U37+Q38+R38+W38+AC38+AD38</f>
        <v>38064</v>
      </c>
      <c r="V38" s="31" t="str">
        <f aca="false">IF(AB38&gt;=Assumptions!B107,"Signal 6",IF(AB38&gt;=Assumptions!B106,"Signal 5",IF(AB38&gt;=Assumptions!B105,"Signal 4",IF(AB38&gt;=Assumptions!B104,"Signal 3",IF(AB38&gt;=Assumptions!B103,"Signal 2",IF(AB38&gt;=Assumptions!B102,"Signal 1","Pre-Signal 1"))))))</f>
        <v>Pre-Signal 1</v>
      </c>
      <c r="W38" s="29" t="n">
        <f aca="false">ROUND(AB38*Assumptions!B137*Assumptions!B138*Assumptions!B139*Assumptions!B136,0)</f>
        <v>300</v>
      </c>
      <c r="X38" s="29" t="n">
        <f aca="false">ROUND(AB38*Assumptions!B137*Assumptions!B65,0)</f>
        <v>49</v>
      </c>
      <c r="Y38" s="32" t="n">
        <f aca="false">ROUND(Y37*(1+Assumptions!B165),0)</f>
        <v>2129</v>
      </c>
      <c r="Z38" s="33" t="n">
        <f aca="false">Assumptions!B158</f>
        <v>400</v>
      </c>
      <c r="AA38" s="32" t="n">
        <f aca="false">ROUND(Y38*Assumptions!B166,0)</f>
        <v>6</v>
      </c>
      <c r="AB38" s="34" t="n">
        <f aca="false">B38+Z38+AA38</f>
        <v>7694.72854015289</v>
      </c>
      <c r="AC38" s="35" t="n">
        <f aca="false">ROUND(IF(A38&gt;=Assumptions!B144,(IF(A38&gt;=25,Assumptions!B151,IF(A38&gt;=16,Assumptions!B150,Assumptions!B149))/1000*Assumptions!B146)+IF(A38&gt;=Assumptions!B145,(IF(A38&gt;=25,Assumptions!B151,IF(A38&gt;=16,Assumptions!B150,Assumptions!B149))*Assumptions!B152/1000*Assumptions!B147),0),0),0)</f>
        <v>76</v>
      </c>
      <c r="AD38" s="35" t="n">
        <f aca="false">IF(Y38&gt;=10000,Assumptions!B170,IF(Y38&gt;=5000,Assumptions!B169,IF(Y38&gt;=2000,Assumptions!B168,IF(Y38&gt;=500,Assumptions!B167,0))))</f>
        <v>20</v>
      </c>
    </row>
    <row r="39" customFormat="false" ht="15" hidden="false" customHeight="false" outlineLevel="0" collapsed="false">
      <c r="A39" s="36" t="n">
        <v>34</v>
      </c>
      <c r="B39" s="37" t="n">
        <f aca="false">B38*(1+Assumptions!B33)</f>
        <v>7871.82682336512</v>
      </c>
      <c r="C39" s="38" t="n">
        <f aca="false">ROUND(AB39*Assumptions!B25,0)</f>
        <v>166</v>
      </c>
      <c r="D39" s="38" t="n">
        <f aca="false">ROUND(AB39*Assumptions!B22,0)</f>
        <v>12</v>
      </c>
      <c r="E39" s="38" t="n">
        <f aca="false">E38+D39-F39</f>
        <v>86</v>
      </c>
      <c r="F39" s="38" t="n">
        <f aca="false">ROUND(E38*Assumptions!B43,0)</f>
        <v>6</v>
      </c>
      <c r="G39" s="38" t="n">
        <f aca="false">D39-F39</f>
        <v>6</v>
      </c>
      <c r="H39" s="39" t="n">
        <f aca="false">ROUND(E39*(Assumptions!B15*0.85+Assumptions!B11*0.15),0)</f>
        <v>987</v>
      </c>
      <c r="I39" s="39" t="n">
        <f aca="false">H39</f>
        <v>987</v>
      </c>
      <c r="J39" s="38" t="n">
        <f aca="false">ROUND(E39*Assumptions!B68,0)</f>
        <v>301</v>
      </c>
      <c r="K39" s="39" t="n">
        <f aca="false">ROUND(J39*Assumptions!B65,0)</f>
        <v>24</v>
      </c>
      <c r="L39" s="39" t="n">
        <f aca="false">Assumptions!B70+IF(E39&gt;Assumptions!B72,45,0)</f>
        <v>31</v>
      </c>
      <c r="M39" s="39" t="n">
        <f aca="false">Assumptions!B76+Assumptions!B77</f>
        <v>35</v>
      </c>
      <c r="N39" s="39" t="n">
        <f aca="false">Assumptions!B81+Assumptions!B82+Assumptions!B87/12+Assumptions!B148</f>
        <v>116</v>
      </c>
      <c r="O39" s="39" t="n">
        <f aca="false">ROUND(I39*Assumptions!B85+E39*Assumptions!B86+W39*Assumptions!B85+ROUND(AB39*Assumptions!B137*Assumptions!B138*Assumptions!B139,0)*Assumptions!B86,0)</f>
        <v>71</v>
      </c>
      <c r="P39" s="39" t="n">
        <f aca="false">K39+L39+M39+N39+O39+X39</f>
        <v>330</v>
      </c>
      <c r="Q39" s="39" t="n">
        <f aca="false">I39-P39</f>
        <v>657</v>
      </c>
      <c r="R39" s="39" t="n">
        <f aca="false">ROUND(AB39*Assumptions!B51*Assumptions!B52,0)</f>
        <v>2898</v>
      </c>
      <c r="S39" s="40" t="n">
        <f aca="false">I39+R39+W39+AC39+AD39</f>
        <v>4304</v>
      </c>
      <c r="T39" s="39" t="n">
        <f aca="false">IF(U39&lt;P39*3,0,IF(U39&lt;P39*6,ROUND((Q39+R39+W39+AC39+AD39)*0.75*Assumptions!B113,0),ROUND((Q39+R39+W39+AC39+AD39)*0.75*Assumptions!B114,0)))</f>
        <v>1139</v>
      </c>
      <c r="U39" s="40" t="n">
        <f aca="false">U38+Q39+R39+W39+AC39+AD39</f>
        <v>42038</v>
      </c>
      <c r="V39" s="41" t="str">
        <f aca="false">IF(AB39&gt;=Assumptions!B107,"Signal 6",IF(AB39&gt;=Assumptions!B106,"Signal 5",IF(AB39&gt;=Assumptions!B105,"Signal 4",IF(AB39&gt;=Assumptions!B104,"Signal 3",IF(AB39&gt;=Assumptions!B103,"Signal 2",IF(AB39&gt;=Assumptions!B102,"Signal 1","Pre-Signal 1"))))))</f>
        <v>Pre-Signal 1</v>
      </c>
      <c r="W39" s="39" t="n">
        <f aca="false">ROUND(AB39*Assumptions!B137*Assumptions!B138*Assumptions!B139*Assumptions!B136,0)</f>
        <v>323</v>
      </c>
      <c r="X39" s="39" t="n">
        <f aca="false">ROUND(AB39*Assumptions!B137*Assumptions!B65,0)</f>
        <v>53</v>
      </c>
      <c r="Y39" s="32" t="n">
        <f aca="false">ROUND(Y38*(1+Assumptions!B165),0)</f>
        <v>2342</v>
      </c>
      <c r="Z39" s="33" t="n">
        <f aca="false">Assumptions!B158</f>
        <v>400</v>
      </c>
      <c r="AA39" s="32" t="n">
        <f aca="false">ROUND(Y39*Assumptions!B166,0)</f>
        <v>7</v>
      </c>
      <c r="AB39" s="34" t="n">
        <f aca="false">B39+Z39+AA39</f>
        <v>8278.82682336512</v>
      </c>
      <c r="AC39" s="35" t="n">
        <f aca="false">ROUND(IF(A39&gt;=Assumptions!B144,(IF(A39&gt;=25,Assumptions!B151,IF(A39&gt;=16,Assumptions!B150,Assumptions!B149))/1000*Assumptions!B146)+IF(A39&gt;=Assumptions!B145,(IF(A39&gt;=25,Assumptions!B151,IF(A39&gt;=16,Assumptions!B150,Assumptions!B149))*Assumptions!B152/1000*Assumptions!B147),0),0),0)</f>
        <v>76</v>
      </c>
      <c r="AD39" s="35" t="n">
        <f aca="false">IF(Y39&gt;=10000,Assumptions!B170,IF(Y39&gt;=5000,Assumptions!B169,IF(Y39&gt;=2000,Assumptions!B168,IF(Y39&gt;=500,Assumptions!B167,0))))</f>
        <v>20</v>
      </c>
    </row>
    <row r="40" customFormat="false" ht="15" hidden="false" customHeight="false" outlineLevel="0" collapsed="false">
      <c r="A40" s="26" t="n">
        <v>35</v>
      </c>
      <c r="B40" s="27" t="n">
        <f aca="false">B39*(1+Assumptions!B33)</f>
        <v>8501.57296923433</v>
      </c>
      <c r="C40" s="28" t="n">
        <f aca="false">ROUND(AB40*Assumptions!B25,0)</f>
        <v>178</v>
      </c>
      <c r="D40" s="28" t="n">
        <f aca="false">ROUND(AB40*Assumptions!B22,0)</f>
        <v>13</v>
      </c>
      <c r="E40" s="28" t="n">
        <f aca="false">E39+D40-F40</f>
        <v>92</v>
      </c>
      <c r="F40" s="28" t="n">
        <f aca="false">ROUND(E39*Assumptions!B43,0)</f>
        <v>7</v>
      </c>
      <c r="G40" s="28" t="n">
        <f aca="false">D40-F40</f>
        <v>6</v>
      </c>
      <c r="H40" s="29" t="n">
        <f aca="false">ROUND(E40*(Assumptions!B15*0.85+Assumptions!B11*0.15),0)</f>
        <v>1056</v>
      </c>
      <c r="I40" s="29" t="n">
        <f aca="false">H40</f>
        <v>1056</v>
      </c>
      <c r="J40" s="28" t="n">
        <f aca="false">ROUND(E40*Assumptions!B68,0)</f>
        <v>322</v>
      </c>
      <c r="K40" s="29" t="n">
        <f aca="false">ROUND(J40*Assumptions!B65,0)</f>
        <v>26</v>
      </c>
      <c r="L40" s="29" t="n">
        <f aca="false">Assumptions!B70+IF(E40&gt;Assumptions!B72,45,0)</f>
        <v>31</v>
      </c>
      <c r="M40" s="29" t="n">
        <f aca="false">Assumptions!B76+Assumptions!B77</f>
        <v>35</v>
      </c>
      <c r="N40" s="29" t="n">
        <f aca="false">Assumptions!B81+Assumptions!B82+Assumptions!B87/12+Assumptions!B148</f>
        <v>116</v>
      </c>
      <c r="O40" s="29" t="n">
        <f aca="false">ROUND(I40*Assumptions!B85+E40*Assumptions!B86+W40*Assumptions!B85+ROUND(AB40*Assumptions!B137*Assumptions!B138*Assumptions!B139,0)*Assumptions!B86,0)</f>
        <v>76</v>
      </c>
      <c r="P40" s="29" t="n">
        <f aca="false">K40+L40+M40+N40+O40+X40</f>
        <v>341</v>
      </c>
      <c r="Q40" s="29" t="n">
        <f aca="false">I40-P40</f>
        <v>715</v>
      </c>
      <c r="R40" s="29" t="n">
        <f aca="false">ROUND(AB40*Assumptions!B51*Assumptions!B52,0)</f>
        <v>3118</v>
      </c>
      <c r="S40" s="30" t="n">
        <f aca="false">I40+R40+W40+AC40+AD40</f>
        <v>4617</v>
      </c>
      <c r="T40" s="29" t="n">
        <f aca="false">IF(U40&lt;P40*3,0,IF(U40&lt;P40*6,ROUND((Q40+R40+W40+AC40+AD40)*0.75*Assumptions!B113,0),ROUND((Q40+R40+W40+AC40+AD40)*0.75*Assumptions!B114,0)))</f>
        <v>1225</v>
      </c>
      <c r="U40" s="30" t="n">
        <f aca="false">U39+Q40+R40+W40+AC40+AD40</f>
        <v>46314</v>
      </c>
      <c r="V40" s="31" t="str">
        <f aca="false">IF(AB40&gt;=Assumptions!B107,"Signal 6",IF(AB40&gt;=Assumptions!B106,"Signal 5",IF(AB40&gt;=Assumptions!B105,"Signal 4",IF(AB40&gt;=Assumptions!B104,"Signal 3",IF(AB40&gt;=Assumptions!B103,"Signal 2",IF(AB40&gt;=Assumptions!B102,"Signal 1","Pre-Signal 1"))))))</f>
        <v>Pre-Signal 1</v>
      </c>
      <c r="W40" s="29" t="n">
        <f aca="false">ROUND(AB40*Assumptions!B137*Assumptions!B138*Assumptions!B139*Assumptions!B136,0)</f>
        <v>347</v>
      </c>
      <c r="X40" s="29" t="n">
        <f aca="false">ROUND(AB40*Assumptions!B137*Assumptions!B65,0)</f>
        <v>57</v>
      </c>
      <c r="Y40" s="32" t="n">
        <f aca="false">ROUND(Y39*(1+Assumptions!B165),0)</f>
        <v>2576</v>
      </c>
      <c r="Z40" s="33" t="n">
        <f aca="false">Assumptions!B158</f>
        <v>400</v>
      </c>
      <c r="AA40" s="32" t="n">
        <f aca="false">ROUND(Y40*Assumptions!B166,0)</f>
        <v>8</v>
      </c>
      <c r="AB40" s="34" t="n">
        <f aca="false">B40+Z40+AA40</f>
        <v>8909.57296923433</v>
      </c>
      <c r="AC40" s="35" t="n">
        <f aca="false">ROUND(IF(A40&gt;=Assumptions!B144,(IF(A40&gt;=25,Assumptions!B151,IF(A40&gt;=16,Assumptions!B150,Assumptions!B149))/1000*Assumptions!B146)+IF(A40&gt;=Assumptions!B145,(IF(A40&gt;=25,Assumptions!B151,IF(A40&gt;=16,Assumptions!B150,Assumptions!B149))*Assumptions!B152/1000*Assumptions!B147),0),0),0)</f>
        <v>76</v>
      </c>
      <c r="AD40" s="35" t="n">
        <f aca="false">IF(Y40&gt;=10000,Assumptions!B170,IF(Y40&gt;=5000,Assumptions!B169,IF(Y40&gt;=2000,Assumptions!B168,IF(Y40&gt;=500,Assumptions!B167,0))))</f>
        <v>20</v>
      </c>
    </row>
    <row r="41" customFormat="false" ht="15" hidden="false" customHeight="false" outlineLevel="0" collapsed="false">
      <c r="A41" s="36" t="n">
        <v>36</v>
      </c>
      <c r="B41" s="37" t="n">
        <f aca="false">B40*(1+Assumptions!B33)</f>
        <v>9181.69880677307</v>
      </c>
      <c r="C41" s="38" t="n">
        <f aca="false">ROUND(AB41*Assumptions!B25,0)</f>
        <v>192</v>
      </c>
      <c r="D41" s="38" t="n">
        <f aca="false">ROUND(AB41*Assumptions!B22,0)</f>
        <v>14</v>
      </c>
      <c r="E41" s="38" t="n">
        <f aca="false">E40+D41-F41</f>
        <v>99</v>
      </c>
      <c r="F41" s="38" t="n">
        <f aca="false">ROUND(E40*Assumptions!B43,0)</f>
        <v>7</v>
      </c>
      <c r="G41" s="38" t="n">
        <f aca="false">D41-F41</f>
        <v>7</v>
      </c>
      <c r="H41" s="39" t="n">
        <f aca="false">ROUND(E41*(Assumptions!B15*0.85+Assumptions!B11*0.15),0)</f>
        <v>1136</v>
      </c>
      <c r="I41" s="39" t="n">
        <f aca="false">H41</f>
        <v>1136</v>
      </c>
      <c r="J41" s="38" t="n">
        <f aca="false">ROUND(E41*Assumptions!B68,0)</f>
        <v>347</v>
      </c>
      <c r="K41" s="39" t="n">
        <f aca="false">ROUND(J41*Assumptions!B65,0)</f>
        <v>28</v>
      </c>
      <c r="L41" s="39" t="n">
        <f aca="false">Assumptions!B70+IF(E41&gt;Assumptions!B72,45,0)</f>
        <v>31</v>
      </c>
      <c r="M41" s="39" t="n">
        <f aca="false">Assumptions!B76+Assumptions!B77</f>
        <v>35</v>
      </c>
      <c r="N41" s="39" t="n">
        <f aca="false">Assumptions!B81+Assumptions!B82+Assumptions!B87/12+Assumptions!B148</f>
        <v>116</v>
      </c>
      <c r="O41" s="39" t="n">
        <f aca="false">ROUND(I41*Assumptions!B85+E41*Assumptions!B86+W41*Assumptions!B85+ROUND(AB41*Assumptions!B137*Assumptions!B138*Assumptions!B139,0)*Assumptions!B86,0)</f>
        <v>82</v>
      </c>
      <c r="P41" s="39" t="n">
        <f aca="false">K41+L41+M41+N41+O41+X41</f>
        <v>353</v>
      </c>
      <c r="Q41" s="39" t="n">
        <f aca="false">I41-P41</f>
        <v>783</v>
      </c>
      <c r="R41" s="39" t="n">
        <f aca="false">ROUND(AB41*Assumptions!B51*Assumptions!B52,0)</f>
        <v>3357</v>
      </c>
      <c r="S41" s="40" t="n">
        <f aca="false">I41+R41+W41+AC41+AD41</f>
        <v>4963</v>
      </c>
      <c r="T41" s="39" t="n">
        <f aca="false">IF(U41&lt;P41*3,0,IF(U41&lt;P41*6,ROUND((Q41+R41+W41+AC41+AD41)*0.75*Assumptions!B113,0),ROUND((Q41+R41+W41+AC41+AD41)*0.75*Assumptions!B114,0)))</f>
        <v>1321</v>
      </c>
      <c r="U41" s="40" t="n">
        <f aca="false">U40+Q41+R41+W41+AC41+AD41</f>
        <v>50924</v>
      </c>
      <c r="V41" s="41" t="str">
        <f aca="false">IF(AB41&gt;=Assumptions!B107,"Signal 6",IF(AB41&gt;=Assumptions!B106,"Signal 5",IF(AB41&gt;=Assumptions!B105,"Signal 4",IF(AB41&gt;=Assumptions!B104,"Signal 3",IF(AB41&gt;=Assumptions!B103,"Signal 2",IF(AB41&gt;=Assumptions!B102,"Signal 1","Pre-Signal 1"))))))</f>
        <v>Pre-Signal 1</v>
      </c>
      <c r="W41" s="39" t="n">
        <f aca="false">ROUND(AB41*Assumptions!B137*Assumptions!B138*Assumptions!B139*Assumptions!B136,0)</f>
        <v>374</v>
      </c>
      <c r="X41" s="39" t="n">
        <f aca="false">ROUND(AB41*Assumptions!B137*Assumptions!B65,0)</f>
        <v>61</v>
      </c>
      <c r="Y41" s="32" t="n">
        <f aca="false">ROUND(Y40*(1+Assumptions!B165),0)</f>
        <v>2834</v>
      </c>
      <c r="Z41" s="33" t="n">
        <f aca="false">Assumptions!B158</f>
        <v>400</v>
      </c>
      <c r="AA41" s="32" t="n">
        <f aca="false">ROUND(Y41*Assumptions!B166,0)</f>
        <v>9</v>
      </c>
      <c r="AB41" s="34" t="n">
        <f aca="false">B41+Z41+AA41</f>
        <v>9590.69880677307</v>
      </c>
      <c r="AC41" s="35" t="n">
        <f aca="false">ROUND(IF(A41&gt;=Assumptions!B144,(IF(A41&gt;=25,Assumptions!B151,IF(A41&gt;=16,Assumptions!B150,Assumptions!B149))/1000*Assumptions!B146)+IF(A41&gt;=Assumptions!B145,(IF(A41&gt;=25,Assumptions!B151,IF(A41&gt;=16,Assumptions!B150,Assumptions!B149))*Assumptions!B152/1000*Assumptions!B147),0),0),0)</f>
        <v>76</v>
      </c>
      <c r="AD41" s="35" t="n">
        <f aca="false">IF(Y41&gt;=10000,Assumptions!B170,IF(Y41&gt;=5000,Assumptions!B169,IF(Y41&gt;=2000,Assumptions!B168,IF(Y41&gt;=500,Assumptions!B167,0))))</f>
        <v>20</v>
      </c>
    </row>
    <row r="43" customFormat="false" ht="15" hidden="false" customHeight="false" outlineLevel="0" collapsed="false">
      <c r="A43" s="42" t="s">
        <v>323</v>
      </c>
      <c r="I43" s="43" t="n">
        <f aca="false">SUM(I6:I41)</f>
        <v>13742</v>
      </c>
      <c r="P43" s="43" t="n">
        <f aca="false">SUM(P6:P41)</f>
        <v>11313</v>
      </c>
      <c r="Q43" s="43" t="n">
        <f aca="false">SUM(Q6:Q41)</f>
        <v>2429</v>
      </c>
      <c r="R43" s="43" t="n">
        <f aca="false">SUM(R6:R41)</f>
        <v>42154</v>
      </c>
      <c r="S43" s="43" t="n">
        <f aca="false">SUM(S6:S41)</f>
        <v>62237</v>
      </c>
      <c r="T43" s="43" t="n">
        <f aca="false">SUM(T6:T41)</f>
        <v>14532</v>
      </c>
      <c r="W43" s="43" t="n">
        <f aca="false">SUM(W6:W41)</f>
        <v>4823</v>
      </c>
      <c r="X43" s="43" t="n">
        <f aca="false">SUM(X6:X41)</f>
        <v>790</v>
      </c>
      <c r="AC43" s="43" t="n">
        <f aca="false">SUM(AC6:AC41)</f>
        <v>1363</v>
      </c>
      <c r="AD43" s="43" t="n">
        <f aca="false">SUM(AD6:AD41)</f>
        <v>155</v>
      </c>
    </row>
    <row r="44" customFormat="false" ht="15" hidden="false" customHeight="false" outlineLevel="0" collapsed="false">
      <c r="A44" s="3" t="s">
        <v>324</v>
      </c>
      <c r="H44" s="44" t="n">
        <f aca="false">AVERAGE(H6:H41)</f>
        <v>381.722222222222</v>
      </c>
      <c r="Q44" s="44" t="n">
        <f aca="false">AVERAGE(Q6:Q41)</f>
        <v>67.4722222222222</v>
      </c>
    </row>
    <row r="45" customFormat="false" ht="15" hidden="false" customHeight="false" outlineLevel="0" collapsed="false">
      <c r="A45" s="3" t="s">
        <v>325</v>
      </c>
      <c r="B45" s="45" t="n">
        <f aca="false">AB41</f>
        <v>9590.69880677307</v>
      </c>
      <c r="E45" s="45" t="n">
        <f aca="false">E41</f>
        <v>99</v>
      </c>
      <c r="H45" s="44" t="n">
        <f aca="false">H41</f>
        <v>1136</v>
      </c>
      <c r="S45" s="44" t="n">
        <f aca="false">S41</f>
        <v>4963</v>
      </c>
      <c r="T45" s="44" t="n">
        <f aca="false">T41</f>
        <v>1321</v>
      </c>
      <c r="U45" s="44" t="n">
        <f aca="false">U41</f>
        <v>50924</v>
      </c>
      <c r="V45" s="0" t="str">
        <f aca="false">V41</f>
        <v>Pre-Signal 1</v>
      </c>
      <c r="AC45" s="44" t="n">
        <f aca="false">AC41</f>
        <v>76</v>
      </c>
      <c r="AD45" s="44" t="n">
        <f aca="false">AD41</f>
        <v>20</v>
      </c>
    </row>
  </sheetData>
  <mergeCells count="3">
    <mergeCell ref="A1:AD1"/>
    <mergeCell ref="A2:AD2"/>
    <mergeCell ref="A3:A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10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2" min="21" style="0" width="12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8" min="25" style="0" width="11"/>
    <col collapsed="false" customWidth="true" hidden="false" outlineLevel="0" max="30" min="29" style="0" width="13"/>
  </cols>
  <sheetData>
    <row r="1" customFormat="false" ht="15" hidden="false" customHeight="false" outlineLevel="0" collapsed="false">
      <c r="A1" s="23" t="s">
        <v>326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customFormat="false" ht="15" hidden="false" customHeight="false" outlineLevel="0" collapsed="false">
      <c r="A2" s="2" t="s">
        <v>327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2" t="s">
        <v>292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5" customFormat="false" ht="36" hidden="false" customHeight="true" outlineLevel="0" collapsed="false">
      <c r="A5" s="24" t="s">
        <v>293</v>
      </c>
      <c r="B5" s="24" t="s">
        <v>294</v>
      </c>
      <c r="C5" s="24" t="s">
        <v>295</v>
      </c>
      <c r="D5" s="24" t="s">
        <v>296</v>
      </c>
      <c r="E5" s="24" t="s">
        <v>297</v>
      </c>
      <c r="F5" s="24" t="s">
        <v>298</v>
      </c>
      <c r="G5" s="24" t="s">
        <v>299</v>
      </c>
      <c r="H5" s="24" t="s">
        <v>300</v>
      </c>
      <c r="I5" s="24" t="s">
        <v>301</v>
      </c>
      <c r="J5" s="24" t="s">
        <v>302</v>
      </c>
      <c r="K5" s="24" t="s">
        <v>303</v>
      </c>
      <c r="L5" s="24" t="s">
        <v>304</v>
      </c>
      <c r="M5" s="24" t="s">
        <v>305</v>
      </c>
      <c r="N5" s="24" t="s">
        <v>306</v>
      </c>
      <c r="O5" s="24" t="s">
        <v>307</v>
      </c>
      <c r="P5" s="24" t="s">
        <v>308</v>
      </c>
      <c r="Q5" s="24" t="s">
        <v>309</v>
      </c>
      <c r="R5" s="24" t="s">
        <v>310</v>
      </c>
      <c r="S5" s="24" t="s">
        <v>311</v>
      </c>
      <c r="T5" s="24" t="s">
        <v>312</v>
      </c>
      <c r="U5" s="24" t="s">
        <v>313</v>
      </c>
      <c r="V5" s="24" t="s">
        <v>314</v>
      </c>
      <c r="W5" s="24" t="s">
        <v>315</v>
      </c>
      <c r="X5" s="24" t="s">
        <v>316</v>
      </c>
      <c r="Y5" s="25" t="s">
        <v>317</v>
      </c>
      <c r="Z5" s="25" t="s">
        <v>318</v>
      </c>
      <c r="AA5" s="25" t="s">
        <v>319</v>
      </c>
      <c r="AB5" s="25" t="s">
        <v>320</v>
      </c>
      <c r="AC5" s="25" t="s">
        <v>321</v>
      </c>
      <c r="AD5" s="25" t="s">
        <v>322</v>
      </c>
    </row>
    <row r="6" customFormat="false" ht="15" hidden="false" customHeight="false" outlineLevel="0" collapsed="false">
      <c r="A6" s="46" t="n">
        <v>1</v>
      </c>
      <c r="B6" s="47" t="n">
        <f aca="false">Assumptions!B31</f>
        <v>800</v>
      </c>
      <c r="C6" s="48" t="n">
        <f aca="false">ROUND(AB6*Assumptions!B25,0)</f>
        <v>16</v>
      </c>
      <c r="D6" s="48" t="n">
        <f aca="false">ROUND(AB6*Assumptions!B23,0)</f>
        <v>2</v>
      </c>
      <c r="E6" s="48" t="n">
        <f aca="false">D6</f>
        <v>2</v>
      </c>
      <c r="F6" s="48" t="n">
        <f aca="false">0</f>
        <v>0</v>
      </c>
      <c r="G6" s="48" t="n">
        <f aca="false">D6-F6</f>
        <v>2</v>
      </c>
      <c r="H6" s="49" t="n">
        <f aca="false">ROUND(E6*Assumptions!B14,0)</f>
        <v>16</v>
      </c>
      <c r="I6" s="49" t="n">
        <f aca="false">H6</f>
        <v>16</v>
      </c>
      <c r="J6" s="48" t="n">
        <f aca="false">ROUND(E6*Assumptions!B68,0)</f>
        <v>7</v>
      </c>
      <c r="K6" s="49" t="n">
        <f aca="false">ROUND(J6*Assumptions!B65,0)</f>
        <v>1</v>
      </c>
      <c r="L6" s="49" t="n">
        <f aca="false">Assumptions!B70+IF(E6&gt;Assumptions!B72,45,0)</f>
        <v>31</v>
      </c>
      <c r="M6" s="49" t="n">
        <f aca="false">Assumptions!B94+Assumptions!B95+Assumptions!B76+Assumptions!B77</f>
        <v>2785</v>
      </c>
      <c r="N6" s="49" t="n">
        <f aca="false">Assumptions!B81+Assumptions!B82+Assumptions!B87/12</f>
        <v>50</v>
      </c>
      <c r="O6" s="49" t="n">
        <f aca="false">ROUND(I6*Assumptions!B85+E6*Assumptions!B86+W6*Assumptions!B85+ROUND(AB6*Assumptions!B137*Assumptions!B138*Assumptions!B139,0)*Assumptions!B86,0)</f>
        <v>3</v>
      </c>
      <c r="P6" s="49" t="n">
        <f aca="false">K6+L6+M6+N6+O6+X6</f>
        <v>2875</v>
      </c>
      <c r="Q6" s="49" t="n">
        <f aca="false">I6-P6</f>
        <v>-2859</v>
      </c>
      <c r="R6" s="49" t="n">
        <f aca="false">0</f>
        <v>0</v>
      </c>
      <c r="S6" s="50" t="n">
        <f aca="false">I6+R6+W6+AC6+AD6</f>
        <v>47</v>
      </c>
      <c r="T6" s="49" t="n">
        <f aca="false">IF(U6&lt;P6*3,0,IF(U6&lt;P6*6,ROUND((Q6+R6+W6+AC6+AD6)*0.75*Assumptions!B113,0),ROUND((Q6+R6+W6+AC6+AD6)*0.75*Assumptions!B114,0)))</f>
        <v>0</v>
      </c>
      <c r="U6" s="50" t="n">
        <f aca="false">Q6+R6+W6+AC6+AD6</f>
        <v>-2828</v>
      </c>
      <c r="V6" s="51" t="str">
        <f aca="false">IF(AB6&gt;=Assumptions!B107,"Signal 6",IF(AB6&gt;=Assumptions!B106,"Signal 5",IF(AB6&gt;=Assumptions!B105,"Signal 4",IF(AB6&gt;=Assumptions!B104,"Signal 3",IF(AB6&gt;=Assumptions!B103,"Signal 2",IF(AB6&gt;=Assumptions!B102,"Signal 1","Pre-Signal 1"))))))</f>
        <v>Pre-Signal 1</v>
      </c>
      <c r="W6" s="49" t="n">
        <f aca="false">ROUND(AB6*Assumptions!B137*Assumptions!B138*Assumptions!B139*Assumptions!B136,0)</f>
        <v>31</v>
      </c>
      <c r="X6" s="49" t="n">
        <f aca="false">ROUND(AB6*Assumptions!B137*Assumptions!B65,0)</f>
        <v>5</v>
      </c>
      <c r="Y6" s="32" t="n">
        <f aca="false">Assumptions!B162</f>
        <v>50</v>
      </c>
      <c r="Z6" s="33" t="n">
        <f aca="false">Assumptions!B153</f>
        <v>0</v>
      </c>
      <c r="AA6" s="32" t="n">
        <f aca="false">ROUND(Y6*Assumptions!B166,0)</f>
        <v>0</v>
      </c>
      <c r="AB6" s="34" t="n">
        <f aca="false">B6+Z6+AA6</f>
        <v>800</v>
      </c>
      <c r="AC6" s="35" t="n">
        <f aca="false">ROUND(IF(A6&gt;=Assumptions!B144,(IF(A6&gt;=25,Assumptions!B151,IF(A6&gt;=16,Assumptions!B150,Assumptions!B149))/1000*Assumptions!B146)+IF(A6&gt;=Assumptions!B145,(IF(A6&gt;=25,Assumptions!B151,IF(A6&gt;=16,Assumptions!B150,Assumptions!B149))*Assumptions!B152/1000*Assumptions!B147),0),0),0)</f>
        <v>0</v>
      </c>
      <c r="AD6" s="35" t="n">
        <f aca="false">IF(Y6&gt;=10000,Assumptions!B170,IF(Y6&gt;=5000,Assumptions!B169,IF(Y6&gt;=2000,Assumptions!B168,IF(Y6&gt;=500,Assumptions!B167,0))))</f>
        <v>0</v>
      </c>
    </row>
    <row r="7" customFormat="false" ht="15" hidden="false" customHeight="false" outlineLevel="0" collapsed="false">
      <c r="A7" s="36" t="n">
        <v>2</v>
      </c>
      <c r="B7" s="37" t="n">
        <f aca="false">B6*(1+Assumptions!B34)</f>
        <v>896</v>
      </c>
      <c r="C7" s="38" t="n">
        <f aca="false">ROUND(AB7*Assumptions!B25,0)</f>
        <v>18</v>
      </c>
      <c r="D7" s="38" t="n">
        <f aca="false">ROUND(AB7*Assumptions!B23,0)</f>
        <v>2</v>
      </c>
      <c r="E7" s="38" t="n">
        <f aca="false">E6+D7-F7</f>
        <v>4</v>
      </c>
      <c r="F7" s="38" t="n">
        <f aca="false">ROUND(E6*Assumptions!B44,0)</f>
        <v>0</v>
      </c>
      <c r="G7" s="38" t="n">
        <f aca="false">D7-F7</f>
        <v>2</v>
      </c>
      <c r="H7" s="39" t="n">
        <f aca="false">ROUND(E7*Assumptions!B14,0)</f>
        <v>32</v>
      </c>
      <c r="I7" s="39" t="n">
        <f aca="false">H7</f>
        <v>32</v>
      </c>
      <c r="J7" s="38" t="n">
        <f aca="false">ROUND(E7*Assumptions!B68,0)</f>
        <v>14</v>
      </c>
      <c r="K7" s="39" t="n">
        <f aca="false">ROUND(J7*Assumptions!B65,0)</f>
        <v>1</v>
      </c>
      <c r="L7" s="39" t="n">
        <f aca="false">Assumptions!B70+IF(E7&gt;Assumptions!B72,45,0)</f>
        <v>31</v>
      </c>
      <c r="M7" s="39" t="n">
        <f aca="false">Assumptions!B76+Assumptions!B77</f>
        <v>35</v>
      </c>
      <c r="N7" s="39" t="n">
        <f aca="false">Assumptions!B81+Assumptions!B82+Assumptions!B87/12</f>
        <v>50</v>
      </c>
      <c r="O7" s="39" t="n">
        <f aca="false">ROUND(I7*Assumptions!B85+E7*Assumptions!B86+W7*Assumptions!B85+ROUND(AB7*Assumptions!B137*Assumptions!B138*Assumptions!B139,0)*Assumptions!B86,0)</f>
        <v>4</v>
      </c>
      <c r="P7" s="39" t="n">
        <f aca="false">K7+L7+M7+N7+O7+X7</f>
        <v>127</v>
      </c>
      <c r="Q7" s="39" t="n">
        <f aca="false">I7-P7</f>
        <v>-95</v>
      </c>
      <c r="R7" s="39" t="n">
        <f aca="false">0</f>
        <v>0</v>
      </c>
      <c r="S7" s="40" t="n">
        <f aca="false">I7+R7+W7+AC7+AD7</f>
        <v>67</v>
      </c>
      <c r="T7" s="39" t="n">
        <f aca="false">IF(U7&lt;P7*3,0,IF(U7&lt;P7*6,ROUND((Q7+R7+W7+AC7+AD7)*0.75*Assumptions!B113,0),ROUND((Q7+R7+W7+AC7+AD7)*0.75*Assumptions!B114,0)))</f>
        <v>0</v>
      </c>
      <c r="U7" s="40" t="n">
        <f aca="false">U6+Q7+R7+W7+AC7+AD7</f>
        <v>-2888</v>
      </c>
      <c r="V7" s="41" t="str">
        <f aca="false">IF(AB7&gt;=Assumptions!B107,"Signal 6",IF(AB7&gt;=Assumptions!B106,"Signal 5",IF(AB7&gt;=Assumptions!B105,"Signal 4",IF(AB7&gt;=Assumptions!B104,"Signal 3",IF(AB7&gt;=Assumptions!B103,"Signal 2",IF(AB7&gt;=Assumptions!B102,"Signal 1","Pre-Signal 1"))))))</f>
        <v>Pre-Signal 1</v>
      </c>
      <c r="W7" s="39" t="n">
        <f aca="false">ROUND(AB7*Assumptions!B137*Assumptions!B138*Assumptions!B139*Assumptions!B136,0)</f>
        <v>35</v>
      </c>
      <c r="X7" s="39" t="n">
        <f aca="false">ROUND(AB7*Assumptions!B137*Assumptions!B65,0)</f>
        <v>6</v>
      </c>
      <c r="Y7" s="32" t="n">
        <f aca="false">ROUND(Y6*(1+Assumptions!B163),0)</f>
        <v>60</v>
      </c>
      <c r="Z7" s="33" t="n">
        <f aca="false">Assumptions!B153</f>
        <v>0</v>
      </c>
      <c r="AA7" s="32" t="n">
        <f aca="false">ROUND(Y7*Assumptions!B166,0)</f>
        <v>0</v>
      </c>
      <c r="AB7" s="34" t="n">
        <f aca="false">B7+Z7+AA7</f>
        <v>896</v>
      </c>
      <c r="AC7" s="35" t="n">
        <f aca="false">ROUND(IF(A7&gt;=Assumptions!B144,(IF(A7&gt;=25,Assumptions!B151,IF(A7&gt;=16,Assumptions!B150,Assumptions!B149))/1000*Assumptions!B146)+IF(A7&gt;=Assumptions!B145,(IF(A7&gt;=25,Assumptions!B151,IF(A7&gt;=16,Assumptions!B150,Assumptions!B149))*Assumptions!B152/1000*Assumptions!B147),0),0),0)</f>
        <v>0</v>
      </c>
      <c r="AD7" s="35" t="n">
        <f aca="false">IF(Y7&gt;=10000,Assumptions!B170,IF(Y7&gt;=5000,Assumptions!B169,IF(Y7&gt;=2000,Assumptions!B168,IF(Y7&gt;=500,Assumptions!B167,0))))</f>
        <v>0</v>
      </c>
    </row>
    <row r="8" customFormat="false" ht="15" hidden="false" customHeight="false" outlineLevel="0" collapsed="false">
      <c r="A8" s="46" t="n">
        <v>3</v>
      </c>
      <c r="B8" s="47" t="n">
        <f aca="false">B7*(1+Assumptions!B34)*Assumptions!B36</f>
        <v>1154.048</v>
      </c>
      <c r="C8" s="48" t="n">
        <f aca="false">ROUND(AB8*Assumptions!B25,0)</f>
        <v>23</v>
      </c>
      <c r="D8" s="48" t="n">
        <f aca="false">ROUND(AB8*Assumptions!B23,0)</f>
        <v>3</v>
      </c>
      <c r="E8" s="48" t="n">
        <f aca="false">E7+D8-F8</f>
        <v>7</v>
      </c>
      <c r="F8" s="48" t="n">
        <f aca="false">ROUND(E7*Assumptions!B44,0)</f>
        <v>0</v>
      </c>
      <c r="G8" s="48" t="n">
        <f aca="false">D8-F8</f>
        <v>3</v>
      </c>
      <c r="H8" s="49" t="n">
        <f aca="false">ROUND(E8*Assumptions!B14,0)</f>
        <v>56</v>
      </c>
      <c r="I8" s="49" t="n">
        <f aca="false">H8</f>
        <v>56</v>
      </c>
      <c r="J8" s="48" t="n">
        <f aca="false">ROUND(E8*Assumptions!B68,0)</f>
        <v>25</v>
      </c>
      <c r="K8" s="49" t="n">
        <f aca="false">ROUND(J8*Assumptions!B65,0)</f>
        <v>2</v>
      </c>
      <c r="L8" s="49" t="n">
        <f aca="false">Assumptions!B70+IF(E8&gt;Assumptions!B72,45,0)</f>
        <v>31</v>
      </c>
      <c r="M8" s="49" t="n">
        <f aca="false">Assumptions!B76+Assumptions!B77</f>
        <v>35</v>
      </c>
      <c r="N8" s="49" t="n">
        <f aca="false">Assumptions!B81+Assumptions!B82+Assumptions!B87/12+Assumptions!B148</f>
        <v>116</v>
      </c>
      <c r="O8" s="49" t="n">
        <f aca="false">ROUND(I8*Assumptions!B85+E8*Assumptions!B86+W8*Assumptions!B85+ROUND(AB8*Assumptions!B137*Assumptions!B138*Assumptions!B139,0)*Assumptions!B86,0)</f>
        <v>6</v>
      </c>
      <c r="P8" s="49" t="n">
        <f aca="false">K8+L8+M8+N8+O8+X8</f>
        <v>197</v>
      </c>
      <c r="Q8" s="49" t="n">
        <f aca="false">I8-P8</f>
        <v>-141</v>
      </c>
      <c r="R8" s="49" t="n">
        <f aca="false">0</f>
        <v>0</v>
      </c>
      <c r="S8" s="50" t="n">
        <f aca="false">I8+R8+W8+AC8+AD8</f>
        <v>101</v>
      </c>
      <c r="T8" s="49" t="n">
        <f aca="false">IF(U8&lt;P8*3,0,IF(U8&lt;P8*6,ROUND((Q8+R8+W8+AC8+AD8)*0.75*Assumptions!B113,0),ROUND((Q8+R8+W8+AC8+AD8)*0.75*Assumptions!B114,0)))</f>
        <v>0</v>
      </c>
      <c r="U8" s="50" t="n">
        <f aca="false">U7+Q8+R8+W8+AC8+AD8</f>
        <v>-2984</v>
      </c>
      <c r="V8" s="51" t="str">
        <f aca="false">IF(AB8&gt;=Assumptions!B107,"Signal 6",IF(AB8&gt;=Assumptions!B106,"Signal 5",IF(AB8&gt;=Assumptions!B105,"Signal 4",IF(AB8&gt;=Assumptions!B104,"Signal 3",IF(AB8&gt;=Assumptions!B103,"Signal 2",IF(AB8&gt;=Assumptions!B102,"Signal 1","Pre-Signal 1"))))))</f>
        <v>Pre-Signal 1</v>
      </c>
      <c r="W8" s="49" t="n">
        <f aca="false">ROUND(AB8*Assumptions!B137*Assumptions!B138*Assumptions!B139*Assumptions!B136,0)</f>
        <v>45</v>
      </c>
      <c r="X8" s="49" t="n">
        <f aca="false">ROUND(AB8*Assumptions!B137*Assumptions!B65,0)</f>
        <v>7</v>
      </c>
      <c r="Y8" s="32" t="n">
        <f aca="false">ROUND(Y7*(1+Assumptions!B163),0)</f>
        <v>72</v>
      </c>
      <c r="Z8" s="33" t="n">
        <f aca="false">Assumptions!B153</f>
        <v>0</v>
      </c>
      <c r="AA8" s="32" t="n">
        <f aca="false">ROUND(Y8*Assumptions!B166,0)</f>
        <v>0</v>
      </c>
      <c r="AB8" s="34" t="n">
        <f aca="false">B8+Z8+AA8</f>
        <v>1154.048</v>
      </c>
      <c r="AC8" s="35" t="n">
        <f aca="false">ROUND(IF(A8&gt;=Assumptions!B144,(IF(A8&gt;=25,Assumptions!B151,IF(A8&gt;=16,Assumptions!B150,Assumptions!B149))/1000*Assumptions!B146)+IF(A8&gt;=Assumptions!B145,(IF(A8&gt;=25,Assumptions!B151,IF(A8&gt;=16,Assumptions!B150,Assumptions!B149))*Assumptions!B152/1000*Assumptions!B147),0),0),0)</f>
        <v>0</v>
      </c>
      <c r="AD8" s="35" t="n">
        <f aca="false">IF(Y8&gt;=10000,Assumptions!B170,IF(Y8&gt;=5000,Assumptions!B169,IF(Y8&gt;=2000,Assumptions!B168,IF(Y8&gt;=500,Assumptions!B167,0))))</f>
        <v>0</v>
      </c>
    </row>
    <row r="9" customFormat="false" ht="15" hidden="false" customHeight="false" outlineLevel="0" collapsed="false">
      <c r="A9" s="36" t="n">
        <v>4</v>
      </c>
      <c r="B9" s="37" t="n">
        <f aca="false">B8*(1+Assumptions!B34)</f>
        <v>1292.53376</v>
      </c>
      <c r="C9" s="38" t="n">
        <f aca="false">ROUND(AB9*Assumptions!B25,0)</f>
        <v>26</v>
      </c>
      <c r="D9" s="38" t="n">
        <f aca="false">ROUND(AB9*Assumptions!B23,0)</f>
        <v>3</v>
      </c>
      <c r="E9" s="38" t="n">
        <f aca="false">E8+D9-F9</f>
        <v>10</v>
      </c>
      <c r="F9" s="38" t="n">
        <f aca="false">ROUND(E8*Assumptions!B44,0)</f>
        <v>0</v>
      </c>
      <c r="G9" s="38" t="n">
        <f aca="false">D9-F9</f>
        <v>3</v>
      </c>
      <c r="H9" s="39" t="n">
        <f aca="false">ROUND(E9*Assumptions!B14,0)</f>
        <v>80</v>
      </c>
      <c r="I9" s="39" t="n">
        <f aca="false">H9</f>
        <v>80</v>
      </c>
      <c r="J9" s="38" t="n">
        <f aca="false">ROUND(E9*Assumptions!B68,0)</f>
        <v>35</v>
      </c>
      <c r="K9" s="39" t="n">
        <f aca="false">ROUND(J9*Assumptions!B65,0)</f>
        <v>3</v>
      </c>
      <c r="L9" s="39" t="n">
        <f aca="false">Assumptions!B70+IF(E9&gt;Assumptions!B72,45,0)</f>
        <v>31</v>
      </c>
      <c r="M9" s="39" t="n">
        <f aca="false">Assumptions!B76+Assumptions!B77</f>
        <v>35</v>
      </c>
      <c r="N9" s="39" t="n">
        <f aca="false">Assumptions!B81+Assumptions!B82+Assumptions!B87/12+Assumptions!B148</f>
        <v>116</v>
      </c>
      <c r="O9" s="39" t="n">
        <f aca="false">ROUND(I9*Assumptions!B85+E9*Assumptions!B86+W9*Assumptions!B85+ROUND(AB9*Assumptions!B137*Assumptions!B138*Assumptions!B139,0)*Assumptions!B86,0)</f>
        <v>8</v>
      </c>
      <c r="P9" s="39" t="n">
        <f aca="false">K9+L9+M9+N9+O9+X9</f>
        <v>201</v>
      </c>
      <c r="Q9" s="39" t="n">
        <f aca="false">I9-P9</f>
        <v>-121</v>
      </c>
      <c r="R9" s="39" t="n">
        <f aca="false">0</f>
        <v>0</v>
      </c>
      <c r="S9" s="40" t="n">
        <f aca="false">I9+R9+W9+AC9+AD9</f>
        <v>130</v>
      </c>
      <c r="T9" s="39" t="n">
        <f aca="false">IF(U9&lt;P9*3,0,IF(U9&lt;P9*6,ROUND((Q9+R9+W9+AC9+AD9)*0.75*Assumptions!B113,0),ROUND((Q9+R9+W9+AC9+AD9)*0.75*Assumptions!B114,0)))</f>
        <v>0</v>
      </c>
      <c r="U9" s="40" t="n">
        <f aca="false">U8+Q9+R9+W9+AC9+AD9</f>
        <v>-3055</v>
      </c>
      <c r="V9" s="41" t="str">
        <f aca="false">IF(AB9&gt;=Assumptions!B107,"Signal 6",IF(AB9&gt;=Assumptions!B106,"Signal 5",IF(AB9&gt;=Assumptions!B105,"Signal 4",IF(AB9&gt;=Assumptions!B104,"Signal 3",IF(AB9&gt;=Assumptions!B103,"Signal 2",IF(AB9&gt;=Assumptions!B102,"Signal 1","Pre-Signal 1"))))))</f>
        <v>Pre-Signal 1</v>
      </c>
      <c r="W9" s="39" t="n">
        <f aca="false">ROUND(AB9*Assumptions!B137*Assumptions!B138*Assumptions!B139*Assumptions!B136,0)</f>
        <v>50</v>
      </c>
      <c r="X9" s="39" t="n">
        <f aca="false">ROUND(AB9*Assumptions!B137*Assumptions!B65,0)</f>
        <v>8</v>
      </c>
      <c r="Y9" s="32" t="n">
        <f aca="false">ROUND(Y8*(1+Assumptions!B163),0)</f>
        <v>86</v>
      </c>
      <c r="Z9" s="33" t="n">
        <f aca="false">Assumptions!B153</f>
        <v>0</v>
      </c>
      <c r="AA9" s="32" t="n">
        <f aca="false">ROUND(Y9*Assumptions!B166,0)</f>
        <v>0</v>
      </c>
      <c r="AB9" s="34" t="n">
        <f aca="false">B9+Z9+AA9</f>
        <v>1292.53376</v>
      </c>
      <c r="AC9" s="35" t="n">
        <f aca="false">ROUND(IF(A9&gt;=Assumptions!B144,(IF(A9&gt;=25,Assumptions!B151,IF(A9&gt;=16,Assumptions!B150,Assumptions!B149))/1000*Assumptions!B146)+IF(A9&gt;=Assumptions!B145,(IF(A9&gt;=25,Assumptions!B151,IF(A9&gt;=16,Assumptions!B150,Assumptions!B149))*Assumptions!B152/1000*Assumptions!B147),0),0),0)</f>
        <v>0</v>
      </c>
      <c r="AD9" s="35" t="n">
        <f aca="false">IF(Y9&gt;=10000,Assumptions!B170,IF(Y9&gt;=5000,Assumptions!B169,IF(Y9&gt;=2000,Assumptions!B168,IF(Y9&gt;=500,Assumptions!B167,0))))</f>
        <v>0</v>
      </c>
    </row>
    <row r="10" customFormat="false" ht="15" hidden="false" customHeight="false" outlineLevel="0" collapsed="false">
      <c r="A10" s="46" t="n">
        <v>5</v>
      </c>
      <c r="B10" s="47" t="n">
        <f aca="false">B9*(1+Assumptions!B34)</f>
        <v>1447.6378112</v>
      </c>
      <c r="C10" s="48" t="n">
        <f aca="false">ROUND(AB10*Assumptions!B25,0)</f>
        <v>29</v>
      </c>
      <c r="D10" s="48" t="n">
        <f aca="false">ROUND(AB10*Assumptions!B23,0)</f>
        <v>4</v>
      </c>
      <c r="E10" s="48" t="n">
        <f aca="false">E9+D10-F10</f>
        <v>13</v>
      </c>
      <c r="F10" s="48" t="n">
        <f aca="false">ROUND(E9*Assumptions!B44,0)</f>
        <v>1</v>
      </c>
      <c r="G10" s="48" t="n">
        <f aca="false">D10-F10</f>
        <v>3</v>
      </c>
      <c r="H10" s="49" t="n">
        <f aca="false">ROUND(E10*Assumptions!B14,0)</f>
        <v>104</v>
      </c>
      <c r="I10" s="49" t="n">
        <f aca="false">H10</f>
        <v>104</v>
      </c>
      <c r="J10" s="48" t="n">
        <f aca="false">ROUND(E10*Assumptions!B68,0)</f>
        <v>46</v>
      </c>
      <c r="K10" s="49" t="n">
        <f aca="false">ROUND(J10*Assumptions!B65,0)</f>
        <v>4</v>
      </c>
      <c r="L10" s="49" t="n">
        <f aca="false">Assumptions!B70+IF(E10&gt;Assumptions!B72,45,0)</f>
        <v>31</v>
      </c>
      <c r="M10" s="49" t="n">
        <f aca="false">Assumptions!B76+Assumptions!B77</f>
        <v>35</v>
      </c>
      <c r="N10" s="49" t="n">
        <f aca="false">Assumptions!B81+Assumptions!B82+Assumptions!B87/12+Assumptions!B148</f>
        <v>116</v>
      </c>
      <c r="O10" s="49" t="n">
        <f aca="false">ROUND(I10*Assumptions!B85+E10*Assumptions!B86+W10*Assumptions!B85+ROUND(AB10*Assumptions!B137*Assumptions!B138*Assumptions!B139,0)*Assumptions!B86,0)</f>
        <v>10</v>
      </c>
      <c r="P10" s="49" t="n">
        <f aca="false">K10+L10+M10+N10+O10+X10</f>
        <v>205</v>
      </c>
      <c r="Q10" s="49" t="n">
        <f aca="false">I10-P10</f>
        <v>-101</v>
      </c>
      <c r="R10" s="49" t="n">
        <f aca="false">0</f>
        <v>0</v>
      </c>
      <c r="S10" s="50" t="n">
        <f aca="false">I10+R10+W10+AC10+AD10</f>
        <v>160</v>
      </c>
      <c r="T10" s="49" t="n">
        <f aca="false">IF(U10&lt;P10*3,0,IF(U10&lt;P10*6,ROUND((Q10+R10+W10+AC10+AD10)*0.75*Assumptions!B113,0),ROUND((Q10+R10+W10+AC10+AD10)*0.75*Assumptions!B114,0)))</f>
        <v>0</v>
      </c>
      <c r="U10" s="50" t="n">
        <f aca="false">U9+Q10+R10+W10+AC10+AD10</f>
        <v>-3100</v>
      </c>
      <c r="V10" s="51" t="str">
        <f aca="false">IF(AB10&gt;=Assumptions!B107,"Signal 6",IF(AB10&gt;=Assumptions!B106,"Signal 5",IF(AB10&gt;=Assumptions!B105,"Signal 4",IF(AB10&gt;=Assumptions!B104,"Signal 3",IF(AB10&gt;=Assumptions!B103,"Signal 2",IF(AB10&gt;=Assumptions!B102,"Signal 1","Pre-Signal 1"))))))</f>
        <v>Pre-Signal 1</v>
      </c>
      <c r="W10" s="49" t="n">
        <f aca="false">ROUND(AB10*Assumptions!B137*Assumptions!B138*Assumptions!B139*Assumptions!B136,0)</f>
        <v>56</v>
      </c>
      <c r="X10" s="49" t="n">
        <f aca="false">ROUND(AB10*Assumptions!B137*Assumptions!B65,0)</f>
        <v>9</v>
      </c>
      <c r="Y10" s="32" t="n">
        <f aca="false">ROUND(Y9*(1+Assumptions!B163),0)</f>
        <v>103</v>
      </c>
      <c r="Z10" s="33" t="n">
        <f aca="false">Assumptions!B153</f>
        <v>0</v>
      </c>
      <c r="AA10" s="32" t="n">
        <f aca="false">ROUND(Y10*Assumptions!B166,0)</f>
        <v>0</v>
      </c>
      <c r="AB10" s="34" t="n">
        <f aca="false">B10+Z10+AA10</f>
        <v>1447.6378112</v>
      </c>
      <c r="AC10" s="35" t="n">
        <f aca="false">ROUND(IF(A10&gt;=Assumptions!B144,(IF(A10&gt;=25,Assumptions!B151,IF(A10&gt;=16,Assumptions!B150,Assumptions!B149))/1000*Assumptions!B146)+IF(A10&gt;=Assumptions!B145,(IF(A10&gt;=25,Assumptions!B151,IF(A10&gt;=16,Assumptions!B150,Assumptions!B149))*Assumptions!B152/1000*Assumptions!B147),0),0),0)</f>
        <v>0</v>
      </c>
      <c r="AD10" s="35" t="n">
        <f aca="false">IF(Y10&gt;=10000,Assumptions!B170,IF(Y10&gt;=5000,Assumptions!B169,IF(Y10&gt;=2000,Assumptions!B168,IF(Y10&gt;=500,Assumptions!B167,0))))</f>
        <v>0</v>
      </c>
    </row>
    <row r="11" customFormat="false" ht="15" hidden="false" customHeight="false" outlineLevel="0" collapsed="false">
      <c r="A11" s="36" t="n">
        <v>6</v>
      </c>
      <c r="B11" s="37" t="n">
        <f aca="false">B10*(1+Assumptions!B34)*Assumptions!B37</f>
        <v>1751.06269642752</v>
      </c>
      <c r="C11" s="38" t="n">
        <f aca="false">ROUND(AB11*Assumptions!B25,0)</f>
        <v>36</v>
      </c>
      <c r="D11" s="38" t="n">
        <f aca="false">ROUND(AB11*Assumptions!B23,0)</f>
        <v>4</v>
      </c>
      <c r="E11" s="38" t="n">
        <f aca="false">E10+D11-F11</f>
        <v>16</v>
      </c>
      <c r="F11" s="38" t="n">
        <f aca="false">ROUND(E10*Assumptions!B44,0)</f>
        <v>1</v>
      </c>
      <c r="G11" s="38" t="n">
        <f aca="false">D11-F11</f>
        <v>3</v>
      </c>
      <c r="H11" s="39" t="n">
        <f aca="false">ROUND(E11*Assumptions!B14,0)</f>
        <v>128</v>
      </c>
      <c r="I11" s="39" t="n">
        <f aca="false">H11</f>
        <v>128</v>
      </c>
      <c r="J11" s="38" t="n">
        <f aca="false">ROUND(E11*Assumptions!B68,0)</f>
        <v>56</v>
      </c>
      <c r="K11" s="39" t="n">
        <f aca="false">ROUND(J11*Assumptions!B65,0)</f>
        <v>4</v>
      </c>
      <c r="L11" s="39" t="n">
        <f aca="false">Assumptions!B70+IF(E11&gt;Assumptions!B72,45,0)</f>
        <v>31</v>
      </c>
      <c r="M11" s="39" t="n">
        <f aca="false">Assumptions!B76+Assumptions!B77</f>
        <v>35</v>
      </c>
      <c r="N11" s="39" t="n">
        <f aca="false">Assumptions!B81+Assumptions!B82+Assumptions!B87/12+Assumptions!B148</f>
        <v>116</v>
      </c>
      <c r="O11" s="39" t="n">
        <f aca="false">ROUND(I11*Assumptions!B85+E11*Assumptions!B86+W11*Assumptions!B85+ROUND(AB11*Assumptions!B137*Assumptions!B138*Assumptions!B139,0)*Assumptions!B86,0)</f>
        <v>12</v>
      </c>
      <c r="P11" s="39" t="n">
        <f aca="false">K11+L11+M11+N11+O11+X11</f>
        <v>209</v>
      </c>
      <c r="Q11" s="39" t="n">
        <f aca="false">I11-P11</f>
        <v>-81</v>
      </c>
      <c r="R11" s="39" t="n">
        <f aca="false">ROUND(AB11*Assumptions!B51*Assumptions!B52,0)</f>
        <v>622</v>
      </c>
      <c r="S11" s="40" t="n">
        <f aca="false">I11+R11+W11+AC11+AD11</f>
        <v>819</v>
      </c>
      <c r="T11" s="39" t="n">
        <f aca="false">IF(U11&lt;P11*3,0,IF(U11&lt;P11*6,ROUND((Q11+R11+W11+AC11+AD11)*0.75*Assumptions!B113,0),ROUND((Q11+R11+W11+AC11+AD11)*0.75*Assumptions!B114,0)))</f>
        <v>0</v>
      </c>
      <c r="U11" s="40" t="n">
        <f aca="false">U10+Q11+R11+W11+AC11+AD11</f>
        <v>-2490</v>
      </c>
      <c r="V11" s="41" t="str">
        <f aca="false">IF(AB11&gt;=Assumptions!B107,"Signal 6",IF(AB11&gt;=Assumptions!B106,"Signal 5",IF(AB11&gt;=Assumptions!B105,"Signal 4",IF(AB11&gt;=Assumptions!B104,"Signal 3",IF(AB11&gt;=Assumptions!B103,"Signal 2",IF(AB11&gt;=Assumptions!B102,"Signal 1","Pre-Signal 1"))))))</f>
        <v>Pre-Signal 1</v>
      </c>
      <c r="W11" s="39" t="n">
        <f aca="false">ROUND(AB11*Assumptions!B137*Assumptions!B138*Assumptions!B139*Assumptions!B136,0)</f>
        <v>69</v>
      </c>
      <c r="X11" s="39" t="n">
        <f aca="false">ROUND(AB11*Assumptions!B137*Assumptions!B65,0)</f>
        <v>11</v>
      </c>
      <c r="Y11" s="32" t="n">
        <f aca="false">ROUND(Y10*(1+Assumptions!B163),0)</f>
        <v>124</v>
      </c>
      <c r="Z11" s="33" t="n">
        <f aca="false">Assumptions!B154</f>
        <v>25</v>
      </c>
      <c r="AA11" s="32" t="n">
        <f aca="false">ROUND(Y11*Assumptions!B166,0)</f>
        <v>0</v>
      </c>
      <c r="AB11" s="34" t="n">
        <f aca="false">B11+Z11+AA11</f>
        <v>1776.06269642752</v>
      </c>
      <c r="AC11" s="35" t="n">
        <f aca="false">ROUND(IF(A11&gt;=Assumptions!B144,(IF(A11&gt;=25,Assumptions!B151,IF(A11&gt;=16,Assumptions!B150,Assumptions!B149))/1000*Assumptions!B146)+IF(A11&gt;=Assumptions!B145,(IF(A11&gt;=25,Assumptions!B151,IF(A11&gt;=16,Assumptions!B150,Assumptions!B149))*Assumptions!B152/1000*Assumptions!B147),0),0),0)</f>
        <v>0</v>
      </c>
      <c r="AD11" s="35" t="n">
        <f aca="false">IF(Y11&gt;=10000,Assumptions!B170,IF(Y11&gt;=5000,Assumptions!B169,IF(Y11&gt;=2000,Assumptions!B168,IF(Y11&gt;=500,Assumptions!B167,0))))</f>
        <v>0</v>
      </c>
    </row>
    <row r="12" customFormat="false" ht="15" hidden="false" customHeight="false" outlineLevel="0" collapsed="false">
      <c r="A12" s="46" t="n">
        <v>7</v>
      </c>
      <c r="B12" s="47" t="n">
        <f aca="false">B11*(1+Assumptions!B34)</f>
        <v>1961.19021999882</v>
      </c>
      <c r="C12" s="48" t="n">
        <f aca="false">ROUND(AB12*Assumptions!B25,0)</f>
        <v>40</v>
      </c>
      <c r="D12" s="48" t="n">
        <f aca="false">ROUND(AB12*Assumptions!B23,0)</f>
        <v>5</v>
      </c>
      <c r="E12" s="48" t="n">
        <f aca="false">E11+D12-F12</f>
        <v>20</v>
      </c>
      <c r="F12" s="48" t="n">
        <f aca="false">ROUND(E11*Assumptions!B44,0)</f>
        <v>1</v>
      </c>
      <c r="G12" s="48" t="n">
        <f aca="false">D12-F12</f>
        <v>4</v>
      </c>
      <c r="H12" s="49" t="n">
        <f aca="false">ROUND(E12*Assumptions!B14,0)</f>
        <v>160</v>
      </c>
      <c r="I12" s="49" t="n">
        <f aca="false">H12</f>
        <v>160</v>
      </c>
      <c r="J12" s="48" t="n">
        <f aca="false">ROUND(E12*Assumptions!B68,0)</f>
        <v>70</v>
      </c>
      <c r="K12" s="49" t="n">
        <f aca="false">ROUND(J12*Assumptions!B65,0)</f>
        <v>6</v>
      </c>
      <c r="L12" s="49" t="n">
        <f aca="false">Assumptions!B70+IF(E12&gt;Assumptions!B72,45,0)</f>
        <v>31</v>
      </c>
      <c r="M12" s="49" t="n">
        <f aca="false">Assumptions!B76+Assumptions!B77</f>
        <v>35</v>
      </c>
      <c r="N12" s="49" t="n">
        <f aca="false">Assumptions!B81+Assumptions!B82+Assumptions!B87/12+Assumptions!B148</f>
        <v>116</v>
      </c>
      <c r="O12" s="49" t="n">
        <f aca="false">ROUND(I12*Assumptions!B85+E12*Assumptions!B86+W12*Assumptions!B85+ROUND(AB12*Assumptions!B137*Assumptions!B138*Assumptions!B139,0)*Assumptions!B86,0)</f>
        <v>15</v>
      </c>
      <c r="P12" s="49" t="n">
        <f aca="false">K12+L12+M12+N12+O12+X12</f>
        <v>216</v>
      </c>
      <c r="Q12" s="49" t="n">
        <f aca="false">I12-P12</f>
        <v>-56</v>
      </c>
      <c r="R12" s="49" t="n">
        <f aca="false">ROUND(AB12*Assumptions!B51*Assumptions!B52,0)</f>
        <v>695</v>
      </c>
      <c r="S12" s="50" t="n">
        <f aca="false">I12+R12+W12+AC12+AD12</f>
        <v>932</v>
      </c>
      <c r="T12" s="49" t="n">
        <f aca="false">IF(U12&lt;P12*3,0,IF(U12&lt;P12*6,ROUND((Q12+R12+W12+AC12+AD12)*0.75*Assumptions!B113,0),ROUND((Q12+R12+W12+AC12+AD12)*0.75*Assumptions!B114,0)))</f>
        <v>0</v>
      </c>
      <c r="U12" s="50" t="n">
        <f aca="false">U11+Q12+R12+W12+AC12+AD12</f>
        <v>-1774</v>
      </c>
      <c r="V12" s="51" t="str">
        <f aca="false">IF(AB12&gt;=Assumptions!B107,"Signal 6",IF(AB12&gt;=Assumptions!B106,"Signal 5",IF(AB12&gt;=Assumptions!B105,"Signal 4",IF(AB12&gt;=Assumptions!B104,"Signal 3",IF(AB12&gt;=Assumptions!B103,"Signal 2",IF(AB12&gt;=Assumptions!B102,"Signal 1","Pre-Signal 1"))))))</f>
        <v>Pre-Signal 1</v>
      </c>
      <c r="W12" s="49" t="n">
        <f aca="false">ROUND(AB12*Assumptions!B137*Assumptions!B138*Assumptions!B139*Assumptions!B136,0)</f>
        <v>77</v>
      </c>
      <c r="X12" s="49" t="n">
        <f aca="false">ROUND(AB12*Assumptions!B137*Assumptions!B65,0)</f>
        <v>13</v>
      </c>
      <c r="Y12" s="32" t="n">
        <f aca="false">ROUND(Y11*(1+Assumptions!B164),0)</f>
        <v>143</v>
      </c>
      <c r="Z12" s="33" t="n">
        <f aca="false">Assumptions!B154</f>
        <v>25</v>
      </c>
      <c r="AA12" s="32" t="n">
        <f aca="false">ROUND(Y12*Assumptions!B166,0)</f>
        <v>0</v>
      </c>
      <c r="AB12" s="34" t="n">
        <f aca="false">B12+Z12+AA12</f>
        <v>1986.19021999882</v>
      </c>
      <c r="AC12" s="35" t="n">
        <f aca="false">ROUND(IF(A12&gt;=Assumptions!B144,(IF(A12&gt;=25,Assumptions!B151,IF(A12&gt;=16,Assumptions!B150,Assumptions!B149))/1000*Assumptions!B146)+IF(A12&gt;=Assumptions!B145,(IF(A12&gt;=25,Assumptions!B151,IF(A12&gt;=16,Assumptions!B150,Assumptions!B149))*Assumptions!B152/1000*Assumptions!B147),0),0),0)</f>
        <v>0</v>
      </c>
      <c r="AD12" s="35" t="n">
        <f aca="false">IF(Y12&gt;=10000,Assumptions!B170,IF(Y12&gt;=5000,Assumptions!B169,IF(Y12&gt;=2000,Assumptions!B168,IF(Y12&gt;=500,Assumptions!B167,0))))</f>
        <v>0</v>
      </c>
    </row>
    <row r="13" customFormat="false" ht="15" hidden="false" customHeight="false" outlineLevel="0" collapsed="false">
      <c r="A13" s="36" t="n">
        <v>8</v>
      </c>
      <c r="B13" s="37" t="n">
        <f aca="false">B12*(1+Assumptions!B34)</f>
        <v>2196.53304639868</v>
      </c>
      <c r="C13" s="38" t="n">
        <f aca="false">ROUND(AB13*Assumptions!B25,0)</f>
        <v>44</v>
      </c>
      <c r="D13" s="38" t="n">
        <f aca="false">ROUND(AB13*Assumptions!B23,0)</f>
        <v>6</v>
      </c>
      <c r="E13" s="38" t="n">
        <f aca="false">E12+D13-F13</f>
        <v>25</v>
      </c>
      <c r="F13" s="38" t="n">
        <f aca="false">ROUND(E12*Assumptions!B44,0)</f>
        <v>1</v>
      </c>
      <c r="G13" s="38" t="n">
        <f aca="false">D13-F13</f>
        <v>5</v>
      </c>
      <c r="H13" s="39" t="n">
        <f aca="false">ROUND(E13*Assumptions!B14,0)</f>
        <v>200</v>
      </c>
      <c r="I13" s="39" t="n">
        <f aca="false">H13</f>
        <v>200</v>
      </c>
      <c r="J13" s="38" t="n">
        <f aca="false">ROUND(E13*Assumptions!B68,0)</f>
        <v>88</v>
      </c>
      <c r="K13" s="39" t="n">
        <f aca="false">ROUND(J13*Assumptions!B65,0)</f>
        <v>7</v>
      </c>
      <c r="L13" s="39" t="n">
        <f aca="false">Assumptions!B70+IF(E13&gt;Assumptions!B72,45,0)</f>
        <v>31</v>
      </c>
      <c r="M13" s="39" t="n">
        <f aca="false">Assumptions!B76+Assumptions!B77</f>
        <v>35</v>
      </c>
      <c r="N13" s="39" t="n">
        <f aca="false">Assumptions!B81+Assumptions!B82+Assumptions!B87/12+Assumptions!B148</f>
        <v>116</v>
      </c>
      <c r="O13" s="39" t="n">
        <f aca="false">ROUND(I13*Assumptions!B85+E13*Assumptions!B86+W13*Assumptions!B85+ROUND(AB13*Assumptions!B137*Assumptions!B138*Assumptions!B139,0)*Assumptions!B86,0)</f>
        <v>18</v>
      </c>
      <c r="P13" s="39" t="n">
        <f aca="false">K13+L13+M13+N13+O13+X13</f>
        <v>221</v>
      </c>
      <c r="Q13" s="39" t="n">
        <f aca="false">I13-P13</f>
        <v>-21</v>
      </c>
      <c r="R13" s="39" t="n">
        <f aca="false">ROUND(AB13*Assumptions!B51*Assumptions!B52,0)</f>
        <v>778</v>
      </c>
      <c r="S13" s="40" t="n">
        <f aca="false">I13+R13+W13+AC13+AD13</f>
        <v>1065</v>
      </c>
      <c r="T13" s="39" t="n">
        <f aca="false">IF(U13&lt;P13*3,0,IF(U13&lt;P13*6,ROUND((Q13+R13+W13+AC13+AD13)*0.75*Assumptions!B113,0),ROUND((Q13+R13+W13+AC13+AD13)*0.75*Assumptions!B114,0)))</f>
        <v>0</v>
      </c>
      <c r="U13" s="40" t="n">
        <f aca="false">U12+Q13+R13+W13+AC13+AD13</f>
        <v>-930</v>
      </c>
      <c r="V13" s="41" t="str">
        <f aca="false">IF(AB13&gt;=Assumptions!B107,"Signal 6",IF(AB13&gt;=Assumptions!B106,"Signal 5",IF(AB13&gt;=Assumptions!B105,"Signal 4",IF(AB13&gt;=Assumptions!B104,"Signal 3",IF(AB13&gt;=Assumptions!B103,"Signal 2",IF(AB13&gt;=Assumptions!B102,"Signal 1","Pre-Signal 1"))))))</f>
        <v>Pre-Signal 1</v>
      </c>
      <c r="W13" s="39" t="n">
        <f aca="false">ROUND(AB13*Assumptions!B137*Assumptions!B138*Assumptions!B139*Assumptions!B136,0)</f>
        <v>87</v>
      </c>
      <c r="X13" s="39" t="n">
        <f aca="false">ROUND(AB13*Assumptions!B137*Assumptions!B65,0)</f>
        <v>14</v>
      </c>
      <c r="Y13" s="32" t="n">
        <f aca="false">ROUND(Y12*(1+Assumptions!B164),0)</f>
        <v>164</v>
      </c>
      <c r="Z13" s="33" t="n">
        <f aca="false">Assumptions!B154</f>
        <v>25</v>
      </c>
      <c r="AA13" s="32" t="n">
        <f aca="false">ROUND(Y13*Assumptions!B166,0)</f>
        <v>0</v>
      </c>
      <c r="AB13" s="34" t="n">
        <f aca="false">B13+Z13+AA13</f>
        <v>2221.53304639868</v>
      </c>
      <c r="AC13" s="35" t="n">
        <f aca="false">ROUND(IF(A13&gt;=Assumptions!B144,(IF(A13&gt;=25,Assumptions!B151,IF(A13&gt;=16,Assumptions!B150,Assumptions!B149))/1000*Assumptions!B146)+IF(A13&gt;=Assumptions!B145,(IF(A13&gt;=25,Assumptions!B151,IF(A13&gt;=16,Assumptions!B150,Assumptions!B149))*Assumptions!B152/1000*Assumptions!B147),0),0),0)</f>
        <v>0</v>
      </c>
      <c r="AD13" s="35" t="n">
        <f aca="false">IF(Y13&gt;=10000,Assumptions!B170,IF(Y13&gt;=5000,Assumptions!B169,IF(Y13&gt;=2000,Assumptions!B168,IF(Y13&gt;=500,Assumptions!B167,0))))</f>
        <v>0</v>
      </c>
    </row>
    <row r="14" customFormat="false" ht="15" hidden="false" customHeight="false" outlineLevel="0" collapsed="false">
      <c r="A14" s="46" t="n">
        <v>9</v>
      </c>
      <c r="B14" s="47" t="n">
        <f aca="false">B13*(1+Assumptions!B34)</f>
        <v>2460.11701196653</v>
      </c>
      <c r="C14" s="48" t="n">
        <f aca="false">ROUND(AB14*Assumptions!B25,0)</f>
        <v>50</v>
      </c>
      <c r="D14" s="48" t="n">
        <f aca="false">ROUND(AB14*Assumptions!B23,0)</f>
        <v>6</v>
      </c>
      <c r="E14" s="48" t="n">
        <f aca="false">E13+D14-F14</f>
        <v>29</v>
      </c>
      <c r="F14" s="48" t="n">
        <f aca="false">ROUND(E13*Assumptions!B44,0)</f>
        <v>2</v>
      </c>
      <c r="G14" s="48" t="n">
        <f aca="false">D14-F14</f>
        <v>4</v>
      </c>
      <c r="H14" s="49" t="n">
        <f aca="false">ROUND(E14*((Assumptions!B14+Assumptions!B15)/2),0)</f>
        <v>305</v>
      </c>
      <c r="I14" s="49" t="n">
        <f aca="false">H14</f>
        <v>305</v>
      </c>
      <c r="J14" s="48" t="n">
        <f aca="false">ROUND(E14*Assumptions!B68,0)</f>
        <v>102</v>
      </c>
      <c r="K14" s="49" t="n">
        <f aca="false">ROUND(J14*Assumptions!B65,0)</f>
        <v>8</v>
      </c>
      <c r="L14" s="49" t="n">
        <f aca="false">Assumptions!B70+IF(E14&gt;Assumptions!B72,45,0)</f>
        <v>31</v>
      </c>
      <c r="M14" s="49" t="n">
        <f aca="false">Assumptions!B76+Assumptions!B77</f>
        <v>35</v>
      </c>
      <c r="N14" s="49" t="n">
        <f aca="false">Assumptions!B81+Assumptions!B82+Assumptions!B87/12+Assumptions!B148</f>
        <v>116</v>
      </c>
      <c r="O14" s="49" t="n">
        <f aca="false">ROUND(I14*Assumptions!B85+E14*Assumptions!B86+W14*Assumptions!B85+ROUND(AB14*Assumptions!B137*Assumptions!B138*Assumptions!B139,0)*Assumptions!B86,0)</f>
        <v>23</v>
      </c>
      <c r="P14" s="49" t="n">
        <f aca="false">K14+L14+M14+N14+O14+X14</f>
        <v>229</v>
      </c>
      <c r="Q14" s="49" t="n">
        <f aca="false">I14-P14</f>
        <v>76</v>
      </c>
      <c r="R14" s="49" t="n">
        <f aca="false">ROUND(AB14*Assumptions!B51*Assumptions!B52,0)</f>
        <v>882</v>
      </c>
      <c r="S14" s="50" t="n">
        <f aca="false">I14+R14+W14+AC14+AD14</f>
        <v>1285</v>
      </c>
      <c r="T14" s="49" t="n">
        <f aca="false">IF(U14&lt;P14*3,0,IF(U14&lt;P14*6,ROUND((Q14+R14+W14+AC14+AD14)*0.75*Assumptions!B113,0),ROUND((Q14+R14+W14+AC14+AD14)*0.75*Assumptions!B114,0)))</f>
        <v>0</v>
      </c>
      <c r="U14" s="50" t="n">
        <f aca="false">U13+Q14+R14+W14+AC14+AD14</f>
        <v>126</v>
      </c>
      <c r="V14" s="51" t="str">
        <f aca="false">IF(AB14&gt;=Assumptions!B107,"Signal 6",IF(AB14&gt;=Assumptions!B106,"Signal 5",IF(AB14&gt;=Assumptions!B105,"Signal 4",IF(AB14&gt;=Assumptions!B104,"Signal 3",IF(AB14&gt;=Assumptions!B103,"Signal 2",IF(AB14&gt;=Assumptions!B102,"Signal 1","Pre-Signal 1"))))))</f>
        <v>Pre-Signal 1</v>
      </c>
      <c r="W14" s="49" t="n">
        <f aca="false">ROUND(AB14*Assumptions!B137*Assumptions!B138*Assumptions!B139*Assumptions!B136,0)</f>
        <v>98</v>
      </c>
      <c r="X14" s="49" t="n">
        <f aca="false">ROUND(AB14*Assumptions!B137*Assumptions!B65,0)</f>
        <v>16</v>
      </c>
      <c r="Y14" s="32" t="n">
        <f aca="false">ROUND(Y13*(1+Assumptions!B164),0)</f>
        <v>189</v>
      </c>
      <c r="Z14" s="33" t="n">
        <f aca="false">Assumptions!B155</f>
        <v>60</v>
      </c>
      <c r="AA14" s="32" t="n">
        <f aca="false">ROUND(Y14*Assumptions!B166,0)</f>
        <v>1</v>
      </c>
      <c r="AB14" s="34" t="n">
        <f aca="false">B14+Z14+AA14</f>
        <v>2521.11701196653</v>
      </c>
      <c r="AC14" s="35" t="n">
        <f aca="false">ROUND(IF(A14&gt;=Assumptions!B144,(IF(A14&gt;=25,Assumptions!B151,IF(A14&gt;=16,Assumptions!B150,Assumptions!B149))/1000*Assumptions!B146)+IF(A14&gt;=Assumptions!B145,(IF(A14&gt;=25,Assumptions!B151,IF(A14&gt;=16,Assumptions!B150,Assumptions!B149))*Assumptions!B152/1000*Assumptions!B147),0),0),0)</f>
        <v>0</v>
      </c>
      <c r="AD14" s="35" t="n">
        <f aca="false">IF(Y14&gt;=10000,Assumptions!B170,IF(Y14&gt;=5000,Assumptions!B169,IF(Y14&gt;=2000,Assumptions!B168,IF(Y14&gt;=500,Assumptions!B167,0))))</f>
        <v>0</v>
      </c>
    </row>
    <row r="15" customFormat="false" ht="15" hidden="false" customHeight="false" outlineLevel="0" collapsed="false">
      <c r="A15" s="36" t="n">
        <v>10</v>
      </c>
      <c r="B15" s="37" t="n">
        <f aca="false">B14*(1+Assumptions!B34)</f>
        <v>2755.33105340251</v>
      </c>
      <c r="C15" s="38" t="n">
        <f aca="false">ROUND(AB15*Assumptions!B25,0)</f>
        <v>56</v>
      </c>
      <c r="D15" s="38" t="n">
        <f aca="false">ROUND(AB15*Assumptions!B23,0)</f>
        <v>7</v>
      </c>
      <c r="E15" s="38" t="n">
        <f aca="false">E14+D15-F15</f>
        <v>34</v>
      </c>
      <c r="F15" s="38" t="n">
        <f aca="false">ROUND(E14*Assumptions!B44,0)</f>
        <v>2</v>
      </c>
      <c r="G15" s="38" t="n">
        <f aca="false">D15-F15</f>
        <v>5</v>
      </c>
      <c r="H15" s="39" t="n">
        <f aca="false">ROUND(E15*(Assumptions!B15*0.85+Assumptions!B11*0.15),0)</f>
        <v>390</v>
      </c>
      <c r="I15" s="39" t="n">
        <f aca="false">H15</f>
        <v>390</v>
      </c>
      <c r="J15" s="38" t="n">
        <f aca="false">ROUND(E15*Assumptions!B68,0)</f>
        <v>119</v>
      </c>
      <c r="K15" s="39" t="n">
        <f aca="false">ROUND(J15*Assumptions!B65,0)</f>
        <v>10</v>
      </c>
      <c r="L15" s="39" t="n">
        <f aca="false">Assumptions!B70+IF(E15&gt;Assumptions!B72,45,0)</f>
        <v>31</v>
      </c>
      <c r="M15" s="39" t="n">
        <f aca="false">Assumptions!B76+Assumptions!B77</f>
        <v>35</v>
      </c>
      <c r="N15" s="39" t="n">
        <f aca="false">Assumptions!B81+Assumptions!B82+Assumptions!B87/12+Assumptions!B148</f>
        <v>116</v>
      </c>
      <c r="O15" s="39" t="n">
        <f aca="false">ROUND(I15*Assumptions!B85+E15*Assumptions!B86+W15*Assumptions!B85+ROUND(AB15*Assumptions!B137*Assumptions!B138*Assumptions!B139,0)*Assumptions!B86,0)</f>
        <v>27</v>
      </c>
      <c r="P15" s="39" t="n">
        <f aca="false">K15+L15+M15+N15+O15+X15</f>
        <v>237</v>
      </c>
      <c r="Q15" s="39" t="n">
        <f aca="false">I15-P15</f>
        <v>153</v>
      </c>
      <c r="R15" s="39" t="n">
        <f aca="false">ROUND(AB15*Assumptions!B51*Assumptions!B52,0)</f>
        <v>986</v>
      </c>
      <c r="S15" s="40" t="n">
        <f aca="false">I15+R15+W15+AC15+AD15</f>
        <v>1486</v>
      </c>
      <c r="T15" s="39" t="n">
        <f aca="false">IF(U15&lt;P15*3,0,IF(U15&lt;P15*6,ROUND((Q15+R15+W15+AC15+AD15)*0.75*Assumptions!B113,0),ROUND((Q15+R15+W15+AC15+AD15)*0.75*Assumptions!B114,0)))</f>
        <v>221</v>
      </c>
      <c r="U15" s="40" t="n">
        <f aca="false">U14+Q15+R15+W15+AC15+AD15</f>
        <v>1375</v>
      </c>
      <c r="V15" s="41" t="str">
        <f aca="false">IF(AB15&gt;=Assumptions!B107,"Signal 6",IF(AB15&gt;=Assumptions!B106,"Signal 5",IF(AB15&gt;=Assumptions!B105,"Signal 4",IF(AB15&gt;=Assumptions!B104,"Signal 3",IF(AB15&gt;=Assumptions!B103,"Signal 2",IF(AB15&gt;=Assumptions!B102,"Signal 1","Pre-Signal 1"))))))</f>
        <v>Pre-Signal 1</v>
      </c>
      <c r="W15" s="39" t="n">
        <f aca="false">ROUND(AB15*Assumptions!B137*Assumptions!B138*Assumptions!B139*Assumptions!B136,0)</f>
        <v>110</v>
      </c>
      <c r="X15" s="39" t="n">
        <f aca="false">ROUND(AB15*Assumptions!B137*Assumptions!B65,0)</f>
        <v>18</v>
      </c>
      <c r="Y15" s="32" t="n">
        <f aca="false">ROUND(Y14*(1+Assumptions!B164),0)</f>
        <v>217</v>
      </c>
      <c r="Z15" s="33" t="n">
        <f aca="false">Assumptions!B155</f>
        <v>60</v>
      </c>
      <c r="AA15" s="32" t="n">
        <f aca="false">ROUND(Y15*Assumptions!B166,0)</f>
        <v>1</v>
      </c>
      <c r="AB15" s="34" t="n">
        <f aca="false">B15+Z15+AA15</f>
        <v>2816.33105340251</v>
      </c>
      <c r="AC15" s="35" t="n">
        <f aca="false">ROUND(IF(A15&gt;=Assumptions!B144,(IF(A15&gt;=25,Assumptions!B151,IF(A15&gt;=16,Assumptions!B150,Assumptions!B149))/1000*Assumptions!B146)+IF(A15&gt;=Assumptions!B145,(IF(A15&gt;=25,Assumptions!B151,IF(A15&gt;=16,Assumptions!B150,Assumptions!B149))*Assumptions!B152/1000*Assumptions!B147),0),0),0)</f>
        <v>0</v>
      </c>
      <c r="AD15" s="35" t="n">
        <f aca="false">IF(Y15&gt;=10000,Assumptions!B170,IF(Y15&gt;=5000,Assumptions!B169,IF(Y15&gt;=2000,Assumptions!B168,IF(Y15&gt;=500,Assumptions!B167,0))))</f>
        <v>0</v>
      </c>
    </row>
    <row r="16" customFormat="false" ht="15" hidden="false" customHeight="false" outlineLevel="0" collapsed="false">
      <c r="A16" s="46" t="n">
        <v>11</v>
      </c>
      <c r="B16" s="47" t="n">
        <f aca="false">B15*(1+Assumptions!B34)</f>
        <v>3085.97077981081</v>
      </c>
      <c r="C16" s="48" t="n">
        <f aca="false">ROUND(AB16*Assumptions!B25,0)</f>
        <v>63</v>
      </c>
      <c r="D16" s="48" t="n">
        <f aca="false">ROUND(AB16*Assumptions!B23,0)</f>
        <v>8</v>
      </c>
      <c r="E16" s="48" t="n">
        <f aca="false">E15+D16-F16</f>
        <v>40</v>
      </c>
      <c r="F16" s="48" t="n">
        <f aca="false">ROUND(E15*Assumptions!B44,0)</f>
        <v>2</v>
      </c>
      <c r="G16" s="48" t="n">
        <f aca="false">D16-F16</f>
        <v>6</v>
      </c>
      <c r="H16" s="49" t="n">
        <f aca="false">ROUND(E16*(Assumptions!B15*0.85+Assumptions!B11*0.15),0)</f>
        <v>459</v>
      </c>
      <c r="I16" s="49" t="n">
        <f aca="false">H16</f>
        <v>459</v>
      </c>
      <c r="J16" s="48" t="n">
        <f aca="false">ROUND(E16*Assumptions!B68,0)</f>
        <v>140</v>
      </c>
      <c r="K16" s="49" t="n">
        <f aca="false">ROUND(J16*Assumptions!B65,0)</f>
        <v>11</v>
      </c>
      <c r="L16" s="49" t="n">
        <f aca="false">Assumptions!B70+IF(E16&gt;Assumptions!B72,45,0)</f>
        <v>31</v>
      </c>
      <c r="M16" s="49" t="n">
        <f aca="false">Assumptions!B76+Assumptions!B77</f>
        <v>35</v>
      </c>
      <c r="N16" s="49" t="n">
        <f aca="false">Assumptions!B81+Assumptions!B82+Assumptions!B87/12+Assumptions!B148</f>
        <v>116</v>
      </c>
      <c r="O16" s="49" t="n">
        <f aca="false">ROUND(I16*Assumptions!B85+E16*Assumptions!B86+W16*Assumptions!B85+ROUND(AB16*Assumptions!B137*Assumptions!B138*Assumptions!B139,0)*Assumptions!B86,0)</f>
        <v>32</v>
      </c>
      <c r="P16" s="49" t="n">
        <f aca="false">K16+L16+M16+N16+O16+X16</f>
        <v>245</v>
      </c>
      <c r="Q16" s="49" t="n">
        <f aca="false">I16-P16</f>
        <v>214</v>
      </c>
      <c r="R16" s="49" t="n">
        <f aca="false">ROUND(AB16*Assumptions!B51*Assumptions!B52,0)</f>
        <v>1101</v>
      </c>
      <c r="S16" s="50" t="n">
        <f aca="false">I16+R16+W16+AC16+AD16</f>
        <v>1683</v>
      </c>
      <c r="T16" s="49" t="n">
        <f aca="false">IF(U16&lt;P16*3,0,IF(U16&lt;P16*6,ROUND((Q16+R16+W16+AC16+AD16)*0.75*Assumptions!B113,0),ROUND((Q16+R16+W16+AC16+AD16)*0.75*Assumptions!B114,0)))</f>
        <v>412</v>
      </c>
      <c r="U16" s="50" t="n">
        <f aca="false">U15+Q16+R16+W16+AC16+AD16</f>
        <v>2813</v>
      </c>
      <c r="V16" s="51" t="str">
        <f aca="false">IF(AB16&gt;=Assumptions!B107,"Signal 6",IF(AB16&gt;=Assumptions!B106,"Signal 5",IF(AB16&gt;=Assumptions!B105,"Signal 4",IF(AB16&gt;=Assumptions!B104,"Signal 3",IF(AB16&gt;=Assumptions!B103,"Signal 2",IF(AB16&gt;=Assumptions!B102,"Signal 1","Pre-Signal 1"))))))</f>
        <v>Pre-Signal 1</v>
      </c>
      <c r="W16" s="49" t="n">
        <f aca="false">ROUND(AB16*Assumptions!B137*Assumptions!B138*Assumptions!B139*Assumptions!B136,0)</f>
        <v>123</v>
      </c>
      <c r="X16" s="49" t="n">
        <f aca="false">ROUND(AB16*Assumptions!B137*Assumptions!B65,0)</f>
        <v>20</v>
      </c>
      <c r="Y16" s="32" t="n">
        <f aca="false">ROUND(Y15*(1+Assumptions!B164),0)</f>
        <v>250</v>
      </c>
      <c r="Z16" s="33" t="n">
        <f aca="false">Assumptions!B155</f>
        <v>60</v>
      </c>
      <c r="AA16" s="32" t="n">
        <f aca="false">ROUND(Y16*Assumptions!B166,0)</f>
        <v>1</v>
      </c>
      <c r="AB16" s="34" t="n">
        <f aca="false">B16+Z16+AA16</f>
        <v>3146.97077981081</v>
      </c>
      <c r="AC16" s="35" t="n">
        <f aca="false">ROUND(IF(A16&gt;=Assumptions!B144,(IF(A16&gt;=25,Assumptions!B151,IF(A16&gt;=16,Assumptions!B150,Assumptions!B149))/1000*Assumptions!B146)+IF(A16&gt;=Assumptions!B145,(IF(A16&gt;=25,Assumptions!B151,IF(A16&gt;=16,Assumptions!B150,Assumptions!B149))*Assumptions!B152/1000*Assumptions!B147),0),0),0)</f>
        <v>0</v>
      </c>
      <c r="AD16" s="35" t="n">
        <f aca="false">IF(Y16&gt;=10000,Assumptions!B170,IF(Y16&gt;=5000,Assumptions!B169,IF(Y16&gt;=2000,Assumptions!B168,IF(Y16&gt;=500,Assumptions!B167,0))))</f>
        <v>0</v>
      </c>
    </row>
    <row r="17" customFormat="false" ht="15" hidden="false" customHeight="false" outlineLevel="0" collapsed="false">
      <c r="A17" s="36" t="n">
        <v>12</v>
      </c>
      <c r="B17" s="37" t="n">
        <f aca="false">B16*(1+Assumptions!B34)</f>
        <v>3456.28727338811</v>
      </c>
      <c r="C17" s="38" t="n">
        <f aca="false">ROUND(AB17*Assumptions!B25,0)</f>
        <v>72</v>
      </c>
      <c r="D17" s="38" t="n">
        <f aca="false">ROUND(AB17*Assumptions!B23,0)</f>
        <v>9</v>
      </c>
      <c r="E17" s="38" t="n">
        <f aca="false">E16+D17-F17</f>
        <v>47</v>
      </c>
      <c r="F17" s="38" t="n">
        <f aca="false">ROUND(E16*Assumptions!B44,0)</f>
        <v>2</v>
      </c>
      <c r="G17" s="38" t="n">
        <f aca="false">D17-F17</f>
        <v>7</v>
      </c>
      <c r="H17" s="39" t="n">
        <f aca="false">ROUND(E17*(Assumptions!B15*0.85+Assumptions!B11*0.15),0)</f>
        <v>539</v>
      </c>
      <c r="I17" s="39" t="n">
        <f aca="false">H17</f>
        <v>539</v>
      </c>
      <c r="J17" s="38" t="n">
        <f aca="false">ROUND(E17*Assumptions!B68,0)</f>
        <v>165</v>
      </c>
      <c r="K17" s="39" t="n">
        <f aca="false">ROUND(J17*Assumptions!B65,0)</f>
        <v>13</v>
      </c>
      <c r="L17" s="39" t="n">
        <f aca="false">Assumptions!B70+IF(E17&gt;Assumptions!B72,45,0)</f>
        <v>31</v>
      </c>
      <c r="M17" s="39" t="n">
        <f aca="false">Assumptions!B76+Assumptions!B77</f>
        <v>35</v>
      </c>
      <c r="N17" s="39" t="n">
        <f aca="false">Assumptions!B81+Assumptions!B82+Assumptions!B87/12+Assumptions!B148</f>
        <v>116</v>
      </c>
      <c r="O17" s="39" t="n">
        <f aca="false">ROUND(I17*Assumptions!B85+E17*Assumptions!B86+W17*Assumptions!B85+ROUND(AB17*Assumptions!B137*Assumptions!B138*Assumptions!B139,0)*Assumptions!B86,0)</f>
        <v>37</v>
      </c>
      <c r="P17" s="39" t="n">
        <f aca="false">K17+L17+M17+N17+O17+X17</f>
        <v>255</v>
      </c>
      <c r="Q17" s="39" t="n">
        <f aca="false">I17-P17</f>
        <v>284</v>
      </c>
      <c r="R17" s="39" t="n">
        <f aca="false">ROUND(AB17*Assumptions!B51*Assumptions!B52,0)</f>
        <v>1254</v>
      </c>
      <c r="S17" s="40" t="n">
        <f aca="false">I17+R17+W17+AC17+AD17</f>
        <v>1949</v>
      </c>
      <c r="T17" s="39" t="n">
        <f aca="false">IF(U17&lt;P17*3,0,IF(U17&lt;P17*6,ROUND((Q17+R17+W17+AC17+AD17)*0.75*Assumptions!B113,0),ROUND((Q17+R17+W17+AC17+AD17)*0.75*Assumptions!B114,0)))</f>
        <v>485</v>
      </c>
      <c r="U17" s="40" t="n">
        <f aca="false">U16+Q17+R17+W17+AC17+AD17</f>
        <v>4507</v>
      </c>
      <c r="V17" s="41" t="str">
        <f aca="false">IF(AB17&gt;=Assumptions!B107,"Signal 6",IF(AB17&gt;=Assumptions!B106,"Signal 5",IF(AB17&gt;=Assumptions!B105,"Signal 4",IF(AB17&gt;=Assumptions!B104,"Signal 3",IF(AB17&gt;=Assumptions!B103,"Signal 2",IF(AB17&gt;=Assumptions!B102,"Signal 1","Pre-Signal 1"))))))</f>
        <v>Pre-Signal 1</v>
      </c>
      <c r="W17" s="39" t="n">
        <f aca="false">ROUND(AB17*Assumptions!B137*Assumptions!B138*Assumptions!B139*Assumptions!B136,0)</f>
        <v>140</v>
      </c>
      <c r="X17" s="39" t="n">
        <f aca="false">ROUND(AB17*Assumptions!B137*Assumptions!B65,0)</f>
        <v>23</v>
      </c>
      <c r="Y17" s="32" t="n">
        <f aca="false">ROUND(Y16*(1+Assumptions!B164),0)</f>
        <v>288</v>
      </c>
      <c r="Z17" s="33" t="n">
        <f aca="false">Assumptions!B156</f>
        <v>125</v>
      </c>
      <c r="AA17" s="32" t="n">
        <f aca="false">ROUND(Y17*Assumptions!B166,0)</f>
        <v>1</v>
      </c>
      <c r="AB17" s="34" t="n">
        <f aca="false">B17+Z17+AA17</f>
        <v>3582.28727338811</v>
      </c>
      <c r="AC17" s="35" t="n">
        <f aca="false">ROUND(IF(A17&gt;=Assumptions!B144,(IF(A17&gt;=25,Assumptions!B151,IF(A17&gt;=16,Assumptions!B150,Assumptions!B149))/1000*Assumptions!B146)+IF(A17&gt;=Assumptions!B145,(IF(A17&gt;=25,Assumptions!B151,IF(A17&gt;=16,Assumptions!B150,Assumptions!B149))*Assumptions!B152/1000*Assumptions!B147),0),0),0)</f>
        <v>16</v>
      </c>
      <c r="AD17" s="35" t="n">
        <f aca="false">IF(Y17&gt;=10000,Assumptions!B170,IF(Y17&gt;=5000,Assumptions!B169,IF(Y17&gt;=2000,Assumptions!B168,IF(Y17&gt;=500,Assumptions!B167,0))))</f>
        <v>0</v>
      </c>
    </row>
    <row r="18" customFormat="false" ht="15" hidden="false" customHeight="false" outlineLevel="0" collapsed="false">
      <c r="A18" s="46" t="n">
        <v>13</v>
      </c>
      <c r="B18" s="47" t="n">
        <f aca="false">B17*(1+Assumptions!B34)</f>
        <v>3871.04174619468</v>
      </c>
      <c r="C18" s="48" t="n">
        <f aca="false">ROUND(AB18*Assumptions!B25,0)</f>
        <v>80</v>
      </c>
      <c r="D18" s="48" t="n">
        <f aca="false">ROUND(AB18*Assumptions!B23,0)</f>
        <v>10</v>
      </c>
      <c r="E18" s="48" t="n">
        <f aca="false">E17+D18-F18</f>
        <v>54</v>
      </c>
      <c r="F18" s="48" t="n">
        <f aca="false">ROUND(E17*Assumptions!B44,0)</f>
        <v>3</v>
      </c>
      <c r="G18" s="48" t="n">
        <f aca="false">D18-F18</f>
        <v>7</v>
      </c>
      <c r="H18" s="49" t="n">
        <f aca="false">ROUND(E18*(Assumptions!B15*0.85+Assumptions!B11*0.15),0)</f>
        <v>620</v>
      </c>
      <c r="I18" s="49" t="n">
        <f aca="false">H18</f>
        <v>620</v>
      </c>
      <c r="J18" s="48" t="n">
        <f aca="false">ROUND(E18*Assumptions!B68,0)</f>
        <v>189</v>
      </c>
      <c r="K18" s="49" t="n">
        <f aca="false">ROUND(J18*Assumptions!B65,0)</f>
        <v>15</v>
      </c>
      <c r="L18" s="49" t="n">
        <f aca="false">Assumptions!B70+IF(E18&gt;Assumptions!B72,45,0)</f>
        <v>31</v>
      </c>
      <c r="M18" s="49" t="n">
        <f aca="false">Assumptions!B76+Assumptions!B77</f>
        <v>35</v>
      </c>
      <c r="N18" s="49" t="n">
        <f aca="false">Assumptions!B81+Assumptions!B82+Assumptions!B87/12+Assumptions!B148</f>
        <v>116</v>
      </c>
      <c r="O18" s="49" t="n">
        <f aca="false">ROUND(I18*Assumptions!B85+E18*Assumptions!B86+W18*Assumptions!B85+ROUND(AB18*Assumptions!B137*Assumptions!B138*Assumptions!B139,0)*Assumptions!B86,0)</f>
        <v>42</v>
      </c>
      <c r="P18" s="49" t="n">
        <f aca="false">K18+L18+M18+N18+O18+X18</f>
        <v>265</v>
      </c>
      <c r="Q18" s="49" t="n">
        <f aca="false">I18-P18</f>
        <v>355</v>
      </c>
      <c r="R18" s="49" t="n">
        <f aca="false">ROUND(AB18*Assumptions!B51*Assumptions!B52,0)</f>
        <v>1399</v>
      </c>
      <c r="S18" s="50" t="n">
        <f aca="false">I18+R18+W18+AC18+AD18</f>
        <v>2191</v>
      </c>
      <c r="T18" s="49" t="n">
        <f aca="false">IF(U18&lt;P18*3,0,IF(U18&lt;P18*6,ROUND((Q18+R18+W18+AC18+AD18)*0.75*Assumptions!B113,0),ROUND((Q18+R18+W18+AC18+AD18)*0.75*Assumptions!B114,0)))</f>
        <v>552</v>
      </c>
      <c r="U18" s="50" t="n">
        <f aca="false">U17+Q18+R18+W18+AC18+AD18</f>
        <v>6433</v>
      </c>
      <c r="V18" s="51" t="str">
        <f aca="false">IF(AB18&gt;=Assumptions!B107,"Signal 6",IF(AB18&gt;=Assumptions!B106,"Signal 5",IF(AB18&gt;=Assumptions!B105,"Signal 4",IF(AB18&gt;=Assumptions!B104,"Signal 3",IF(AB18&gt;=Assumptions!B103,"Signal 2",IF(AB18&gt;=Assumptions!B102,"Signal 1","Pre-Signal 1"))))))</f>
        <v>Pre-Signal 1</v>
      </c>
      <c r="W18" s="49" t="n">
        <f aca="false">ROUND(AB18*Assumptions!B137*Assumptions!B138*Assumptions!B139*Assumptions!B136,0)</f>
        <v>156</v>
      </c>
      <c r="X18" s="49" t="n">
        <f aca="false">ROUND(AB18*Assumptions!B137*Assumptions!B65,0)</f>
        <v>26</v>
      </c>
      <c r="Y18" s="32" t="n">
        <f aca="false">ROUND(Y17*(1+Assumptions!B165),0)</f>
        <v>317</v>
      </c>
      <c r="Z18" s="33" t="n">
        <f aca="false">Assumptions!B156</f>
        <v>125</v>
      </c>
      <c r="AA18" s="32" t="n">
        <f aca="false">ROUND(Y18*Assumptions!B166,0)</f>
        <v>1</v>
      </c>
      <c r="AB18" s="34" t="n">
        <f aca="false">B18+Z18+AA18</f>
        <v>3997.04174619468</v>
      </c>
      <c r="AC18" s="35" t="n">
        <f aca="false">ROUND(IF(A18&gt;=Assumptions!B144,(IF(A18&gt;=25,Assumptions!B151,IF(A18&gt;=16,Assumptions!B150,Assumptions!B149))/1000*Assumptions!B146)+IF(A18&gt;=Assumptions!B145,(IF(A18&gt;=25,Assumptions!B151,IF(A18&gt;=16,Assumptions!B150,Assumptions!B149))*Assumptions!B152/1000*Assumptions!B147),0),0),0)</f>
        <v>16</v>
      </c>
      <c r="AD18" s="35" t="n">
        <f aca="false">IF(Y18&gt;=10000,Assumptions!B170,IF(Y18&gt;=5000,Assumptions!B169,IF(Y18&gt;=2000,Assumptions!B168,IF(Y18&gt;=500,Assumptions!B167,0))))</f>
        <v>0</v>
      </c>
    </row>
    <row r="19" customFormat="false" ht="15" hidden="false" customHeight="false" outlineLevel="0" collapsed="false">
      <c r="A19" s="36" t="n">
        <v>14</v>
      </c>
      <c r="B19" s="37" t="n">
        <f aca="false">B18*(1+Assumptions!B34)</f>
        <v>4335.56675573804</v>
      </c>
      <c r="C19" s="38" t="n">
        <f aca="false">ROUND(AB19*Assumptions!B25,0)</f>
        <v>89</v>
      </c>
      <c r="D19" s="38" t="n">
        <f aca="false">ROUND(AB19*Assumptions!B23,0)</f>
        <v>11</v>
      </c>
      <c r="E19" s="38" t="n">
        <f aca="false">E18+D19-F19</f>
        <v>62</v>
      </c>
      <c r="F19" s="38" t="n">
        <f aca="false">ROUND(E18*Assumptions!B44,0)</f>
        <v>3</v>
      </c>
      <c r="G19" s="38" t="n">
        <f aca="false">D19-F19</f>
        <v>8</v>
      </c>
      <c r="H19" s="39" t="n">
        <f aca="false">ROUND(E19*(Assumptions!B15*0.85+Assumptions!B11*0.15),0)</f>
        <v>711</v>
      </c>
      <c r="I19" s="39" t="n">
        <f aca="false">H19</f>
        <v>711</v>
      </c>
      <c r="J19" s="38" t="n">
        <f aca="false">ROUND(E19*Assumptions!B68,0)</f>
        <v>217</v>
      </c>
      <c r="K19" s="39" t="n">
        <f aca="false">ROUND(J19*Assumptions!B65,0)</f>
        <v>17</v>
      </c>
      <c r="L19" s="39" t="n">
        <f aca="false">Assumptions!B70+IF(E19&gt;Assumptions!B72,45,0)</f>
        <v>31</v>
      </c>
      <c r="M19" s="39" t="n">
        <f aca="false">Assumptions!B76+Assumptions!B77</f>
        <v>35</v>
      </c>
      <c r="N19" s="39" t="n">
        <f aca="false">Assumptions!B81+Assumptions!B82+Assumptions!B87/12+Assumptions!B148</f>
        <v>116</v>
      </c>
      <c r="O19" s="39" t="n">
        <f aca="false">ROUND(I19*Assumptions!B85+E19*Assumptions!B86+W19*Assumptions!B85+ROUND(AB19*Assumptions!B137*Assumptions!B138*Assumptions!B139,0)*Assumptions!B86,0)</f>
        <v>48</v>
      </c>
      <c r="P19" s="39" t="n">
        <f aca="false">K19+L19+M19+N19+O19+X19</f>
        <v>276</v>
      </c>
      <c r="Q19" s="39" t="n">
        <f aca="false">I19-P19</f>
        <v>435</v>
      </c>
      <c r="R19" s="39" t="n">
        <f aca="false">ROUND(AB19*Assumptions!B51*Assumptions!B52,0)</f>
        <v>1562</v>
      </c>
      <c r="S19" s="40" t="n">
        <f aca="false">I19+R19+W19+AC19+AD19</f>
        <v>2463</v>
      </c>
      <c r="T19" s="39" t="n">
        <f aca="false">IF(U19&lt;P19*3,0,IF(U19&lt;P19*6,ROUND((Q19+R19+W19+AC19+AD19)*0.75*Assumptions!B113,0),ROUND((Q19+R19+W19+AC19+AD19)*0.75*Assumptions!B114,0)))</f>
        <v>627</v>
      </c>
      <c r="U19" s="40" t="n">
        <f aca="false">U18+Q19+R19+W19+AC19+AD19</f>
        <v>8620</v>
      </c>
      <c r="V19" s="41" t="str">
        <f aca="false">IF(AB19&gt;=Assumptions!B107,"Signal 6",IF(AB19&gt;=Assumptions!B106,"Signal 5",IF(AB19&gt;=Assumptions!B105,"Signal 4",IF(AB19&gt;=Assumptions!B104,"Signal 3",IF(AB19&gt;=Assumptions!B103,"Signal 2",IF(AB19&gt;=Assumptions!B102,"Signal 1","Pre-Signal 1"))))))</f>
        <v>Pre-Signal 1</v>
      </c>
      <c r="W19" s="39" t="n">
        <f aca="false">ROUND(AB19*Assumptions!B137*Assumptions!B138*Assumptions!B139*Assumptions!B136,0)</f>
        <v>174</v>
      </c>
      <c r="X19" s="39" t="n">
        <f aca="false">ROUND(AB19*Assumptions!B137*Assumptions!B65,0)</f>
        <v>29</v>
      </c>
      <c r="Y19" s="32" t="n">
        <f aca="false">ROUND(Y18*(1+Assumptions!B165),0)</f>
        <v>349</v>
      </c>
      <c r="Z19" s="33" t="n">
        <f aca="false">Assumptions!B156</f>
        <v>125</v>
      </c>
      <c r="AA19" s="32" t="n">
        <f aca="false">ROUND(Y19*Assumptions!B166,0)</f>
        <v>1</v>
      </c>
      <c r="AB19" s="34" t="n">
        <f aca="false">B19+Z19+AA19</f>
        <v>4461.56675573804</v>
      </c>
      <c r="AC19" s="35" t="n">
        <f aca="false">ROUND(IF(A19&gt;=Assumptions!B144,(IF(A19&gt;=25,Assumptions!B151,IF(A19&gt;=16,Assumptions!B150,Assumptions!B149))/1000*Assumptions!B146)+IF(A19&gt;=Assumptions!B145,(IF(A19&gt;=25,Assumptions!B151,IF(A19&gt;=16,Assumptions!B150,Assumptions!B149))*Assumptions!B152/1000*Assumptions!B147),0),0),0)</f>
        <v>16</v>
      </c>
      <c r="AD19" s="35" t="n">
        <f aca="false">IF(Y19&gt;=10000,Assumptions!B170,IF(Y19&gt;=5000,Assumptions!B169,IF(Y19&gt;=2000,Assumptions!B168,IF(Y19&gt;=500,Assumptions!B167,0))))</f>
        <v>0</v>
      </c>
    </row>
    <row r="20" customFormat="false" ht="15" hidden="false" customHeight="false" outlineLevel="0" collapsed="false">
      <c r="A20" s="46" t="n">
        <v>15</v>
      </c>
      <c r="B20" s="47" t="n">
        <f aca="false">B19*(1+Assumptions!B34)</f>
        <v>4855.83476642661</v>
      </c>
      <c r="C20" s="48" t="n">
        <f aca="false">ROUND(AB20*Assumptions!B25,0)</f>
        <v>100</v>
      </c>
      <c r="D20" s="48" t="n">
        <f aca="false">ROUND(AB20*Assumptions!B23,0)</f>
        <v>12</v>
      </c>
      <c r="E20" s="48" t="n">
        <f aca="false">E19+D20-F20</f>
        <v>70</v>
      </c>
      <c r="F20" s="48" t="n">
        <f aca="false">ROUND(E19*Assumptions!B44,0)</f>
        <v>4</v>
      </c>
      <c r="G20" s="48" t="n">
        <f aca="false">D20-F20</f>
        <v>8</v>
      </c>
      <c r="H20" s="49" t="n">
        <f aca="false">ROUND(E20*(Assumptions!B15*0.85+Assumptions!B11*0.15),0)</f>
        <v>803</v>
      </c>
      <c r="I20" s="49" t="n">
        <f aca="false">H20</f>
        <v>803</v>
      </c>
      <c r="J20" s="48" t="n">
        <f aca="false">ROUND(E20*Assumptions!B68,0)</f>
        <v>245</v>
      </c>
      <c r="K20" s="49" t="n">
        <f aca="false">ROUND(J20*Assumptions!B65,0)</f>
        <v>20</v>
      </c>
      <c r="L20" s="49" t="n">
        <f aca="false">Assumptions!B70+IF(E20&gt;Assumptions!B72,45,0)</f>
        <v>31</v>
      </c>
      <c r="M20" s="49" t="n">
        <f aca="false">Assumptions!B76+Assumptions!B77</f>
        <v>35</v>
      </c>
      <c r="N20" s="49" t="n">
        <f aca="false">Assumptions!B81+Assumptions!B82+Assumptions!B87/12+Assumptions!B148</f>
        <v>116</v>
      </c>
      <c r="O20" s="49" t="n">
        <f aca="false">ROUND(I20*Assumptions!B85+E20*Assumptions!B86+W20*Assumptions!B85+ROUND(AB20*Assumptions!B137*Assumptions!B138*Assumptions!B139,0)*Assumptions!B86,0)</f>
        <v>54</v>
      </c>
      <c r="P20" s="49" t="n">
        <f aca="false">K20+L20+M20+N20+O20+X20</f>
        <v>288</v>
      </c>
      <c r="Q20" s="49" t="n">
        <f aca="false">I20-P20</f>
        <v>515</v>
      </c>
      <c r="R20" s="49" t="n">
        <f aca="false">ROUND(AB20*Assumptions!B51*Assumptions!B52,0)</f>
        <v>1744</v>
      </c>
      <c r="S20" s="50" t="n">
        <f aca="false">I20+R20+W20+AC20+AD20</f>
        <v>2757</v>
      </c>
      <c r="T20" s="49" t="n">
        <f aca="false">IF(U20&lt;P20*3,0,IF(U20&lt;P20*6,ROUND((Q20+R20+W20+AC20+AD20)*0.75*Assumptions!B113,0),ROUND((Q20+R20+W20+AC20+AD20)*0.75*Assumptions!B114,0)))</f>
        <v>707</v>
      </c>
      <c r="U20" s="50" t="n">
        <f aca="false">U19+Q20+R20+W20+AC20+AD20</f>
        <v>11089</v>
      </c>
      <c r="V20" s="51" t="str">
        <f aca="false">IF(AB20&gt;=Assumptions!B107,"Signal 6",IF(AB20&gt;=Assumptions!B106,"Signal 5",IF(AB20&gt;=Assumptions!B105,"Signal 4",IF(AB20&gt;=Assumptions!B104,"Signal 3",IF(AB20&gt;=Assumptions!B103,"Signal 2",IF(AB20&gt;=Assumptions!B102,"Signal 1","Pre-Signal 1"))))))</f>
        <v>Pre-Signal 1</v>
      </c>
      <c r="W20" s="49" t="n">
        <f aca="false">ROUND(AB20*Assumptions!B137*Assumptions!B138*Assumptions!B139*Assumptions!B136,0)</f>
        <v>194</v>
      </c>
      <c r="X20" s="49" t="n">
        <f aca="false">ROUND(AB20*Assumptions!B137*Assumptions!B65,0)</f>
        <v>32</v>
      </c>
      <c r="Y20" s="32" t="n">
        <f aca="false">ROUND(Y19*(1+Assumptions!B165),0)</f>
        <v>384</v>
      </c>
      <c r="Z20" s="33" t="n">
        <f aca="false">Assumptions!B156</f>
        <v>125</v>
      </c>
      <c r="AA20" s="32" t="n">
        <f aca="false">ROUND(Y20*Assumptions!B166,0)</f>
        <v>1</v>
      </c>
      <c r="AB20" s="34" t="n">
        <f aca="false">B20+Z20+AA20</f>
        <v>4981.83476642661</v>
      </c>
      <c r="AC20" s="35" t="n">
        <f aca="false">ROUND(IF(A20&gt;=Assumptions!B144,(IF(A20&gt;=25,Assumptions!B151,IF(A20&gt;=16,Assumptions!B150,Assumptions!B149))/1000*Assumptions!B146)+IF(A20&gt;=Assumptions!B145,(IF(A20&gt;=25,Assumptions!B151,IF(A20&gt;=16,Assumptions!B150,Assumptions!B149))*Assumptions!B152/1000*Assumptions!B147),0),0),0)</f>
        <v>16</v>
      </c>
      <c r="AD20" s="35" t="n">
        <f aca="false">IF(Y20&gt;=10000,Assumptions!B170,IF(Y20&gt;=5000,Assumptions!B169,IF(Y20&gt;=2000,Assumptions!B168,IF(Y20&gt;=500,Assumptions!B167,0))))</f>
        <v>0</v>
      </c>
    </row>
    <row r="21" customFormat="false" ht="15" hidden="false" customHeight="false" outlineLevel="0" collapsed="false">
      <c r="A21" s="36" t="n">
        <v>16</v>
      </c>
      <c r="B21" s="37" t="n">
        <f aca="false">B20*(1+Assumptions!B34)</f>
        <v>5438.5349383978</v>
      </c>
      <c r="C21" s="38" t="n">
        <f aca="false">ROUND(AB21*Assumptions!B25,0)</f>
        <v>114</v>
      </c>
      <c r="D21" s="38" t="n">
        <f aca="false">ROUND(AB21*Assumptions!B23,0)</f>
        <v>14</v>
      </c>
      <c r="E21" s="38" t="n">
        <f aca="false">E20+D21-F21</f>
        <v>80</v>
      </c>
      <c r="F21" s="38" t="n">
        <f aca="false">ROUND(E20*Assumptions!B44,0)</f>
        <v>4</v>
      </c>
      <c r="G21" s="38" t="n">
        <f aca="false">D21-F21</f>
        <v>10</v>
      </c>
      <c r="H21" s="39" t="n">
        <f aca="false">ROUND(E21*(Assumptions!B15*0.85+Assumptions!B11*0.15),0)</f>
        <v>918</v>
      </c>
      <c r="I21" s="39" t="n">
        <f aca="false">H21</f>
        <v>918</v>
      </c>
      <c r="J21" s="38" t="n">
        <f aca="false">ROUND(E21*Assumptions!B68,0)</f>
        <v>280</v>
      </c>
      <c r="K21" s="39" t="n">
        <f aca="false">ROUND(J21*Assumptions!B65,0)</f>
        <v>22</v>
      </c>
      <c r="L21" s="39" t="n">
        <f aca="false">Assumptions!B70+IF(E21&gt;Assumptions!B72,45,0)</f>
        <v>31</v>
      </c>
      <c r="M21" s="39" t="n">
        <f aca="false">Assumptions!B76+Assumptions!B77</f>
        <v>35</v>
      </c>
      <c r="N21" s="39" t="n">
        <f aca="false">Assumptions!B81+Assumptions!B82+Assumptions!B87/12+Assumptions!B148</f>
        <v>116</v>
      </c>
      <c r="O21" s="39" t="n">
        <f aca="false">ROUND(I21*Assumptions!B85+E21*Assumptions!B86+W21*Assumptions!B85+ROUND(AB21*Assumptions!B137*Assumptions!B138*Assumptions!B139,0)*Assumptions!B86,0)</f>
        <v>62</v>
      </c>
      <c r="P21" s="39" t="n">
        <f aca="false">K21+L21+M21+N21+O21+X21</f>
        <v>302</v>
      </c>
      <c r="Q21" s="39" t="n">
        <f aca="false">I21-P21</f>
        <v>616</v>
      </c>
      <c r="R21" s="39" t="n">
        <f aca="false">ROUND(AB21*Assumptions!B51*Assumptions!B52,0)</f>
        <v>1991</v>
      </c>
      <c r="S21" s="40" t="n">
        <f aca="false">I21+R21+W21+AC21+AD21</f>
        <v>3174</v>
      </c>
      <c r="T21" s="39" t="n">
        <f aca="false">IF(U21&lt;P21*3,0,IF(U21&lt;P21*6,ROUND((Q21+R21+W21+AC21+AD21)*0.75*Assumptions!B113,0),ROUND((Q21+R21+W21+AC21+AD21)*0.75*Assumptions!B114,0)))</f>
        <v>823</v>
      </c>
      <c r="U21" s="40" t="n">
        <f aca="false">U20+Q21+R21+W21+AC21+AD21</f>
        <v>13961</v>
      </c>
      <c r="V21" s="41" t="str">
        <f aca="false">IF(AB21&gt;=Assumptions!B107,"Signal 6",IF(AB21&gt;=Assumptions!B106,"Signal 5",IF(AB21&gt;=Assumptions!B105,"Signal 4",IF(AB21&gt;=Assumptions!B104,"Signal 3",IF(AB21&gt;=Assumptions!B103,"Signal 2",IF(AB21&gt;=Assumptions!B102,"Signal 1","Pre-Signal 1"))))))</f>
        <v>Pre-Signal 1</v>
      </c>
      <c r="W21" s="39" t="n">
        <f aca="false">ROUND(AB21*Assumptions!B137*Assumptions!B138*Assumptions!B139*Assumptions!B136,0)</f>
        <v>222</v>
      </c>
      <c r="X21" s="39" t="n">
        <f aca="false">ROUND(AB21*Assumptions!B137*Assumptions!B65,0)</f>
        <v>36</v>
      </c>
      <c r="Y21" s="32" t="n">
        <f aca="false">ROUND(Y20*(1+Assumptions!B165),0)</f>
        <v>422</v>
      </c>
      <c r="Z21" s="33" t="n">
        <f aca="false">Assumptions!B157</f>
        <v>250</v>
      </c>
      <c r="AA21" s="32" t="n">
        <f aca="false">ROUND(Y21*Assumptions!B166,0)</f>
        <v>1</v>
      </c>
      <c r="AB21" s="34" t="n">
        <f aca="false">B21+Z21+AA21</f>
        <v>5689.5349383978</v>
      </c>
      <c r="AC21" s="35" t="n">
        <f aca="false">ROUND(IF(A21&gt;=Assumptions!B144,(IF(A21&gt;=25,Assumptions!B151,IF(A21&gt;=16,Assumptions!B150,Assumptions!B149))/1000*Assumptions!B146)+IF(A21&gt;=Assumptions!B145,(IF(A21&gt;=25,Assumptions!B151,IF(A21&gt;=16,Assumptions!B150,Assumptions!B149))*Assumptions!B152/1000*Assumptions!B147),0),0),0)</f>
        <v>43</v>
      </c>
      <c r="AD21" s="35" t="n">
        <f aca="false">IF(Y21&gt;=10000,Assumptions!B170,IF(Y21&gt;=5000,Assumptions!B169,IF(Y21&gt;=2000,Assumptions!B168,IF(Y21&gt;=500,Assumptions!B167,0))))</f>
        <v>0</v>
      </c>
    </row>
    <row r="22" customFormat="false" ht="15" hidden="false" customHeight="false" outlineLevel="0" collapsed="false">
      <c r="A22" s="46" t="n">
        <v>17</v>
      </c>
      <c r="B22" s="47" t="n">
        <f aca="false">B21*(1+Assumptions!B34)</f>
        <v>6091.15913100554</v>
      </c>
      <c r="C22" s="48" t="n">
        <f aca="false">ROUND(AB22*Assumptions!B25,0)</f>
        <v>127</v>
      </c>
      <c r="D22" s="48" t="n">
        <f aca="false">ROUND(AB22*Assumptions!B23,0)</f>
        <v>16</v>
      </c>
      <c r="E22" s="48" t="n">
        <f aca="false">E21+D22-F22</f>
        <v>91</v>
      </c>
      <c r="F22" s="48" t="n">
        <f aca="false">ROUND(E21*Assumptions!B44,0)</f>
        <v>5</v>
      </c>
      <c r="G22" s="48" t="n">
        <f aca="false">D22-F22</f>
        <v>11</v>
      </c>
      <c r="H22" s="49" t="n">
        <f aca="false">ROUND(E22*(Assumptions!B15*0.85+Assumptions!B11*0.15),0)</f>
        <v>1044</v>
      </c>
      <c r="I22" s="49" t="n">
        <f aca="false">H22</f>
        <v>1044</v>
      </c>
      <c r="J22" s="48" t="n">
        <f aca="false">ROUND(E22*Assumptions!B68,0)</f>
        <v>319</v>
      </c>
      <c r="K22" s="49" t="n">
        <f aca="false">ROUND(J22*Assumptions!B65,0)</f>
        <v>26</v>
      </c>
      <c r="L22" s="49" t="n">
        <f aca="false">Assumptions!B70+IF(E22&gt;Assumptions!B72,45,0)</f>
        <v>31</v>
      </c>
      <c r="M22" s="49" t="n">
        <f aca="false">Assumptions!B76+Assumptions!B77</f>
        <v>35</v>
      </c>
      <c r="N22" s="49" t="n">
        <f aca="false">Assumptions!B81+Assumptions!B82+Assumptions!B87/12+Assumptions!B148</f>
        <v>116</v>
      </c>
      <c r="O22" s="49" t="n">
        <f aca="false">ROUND(I22*Assumptions!B85+E22*Assumptions!B86+W22*Assumptions!B85+ROUND(AB22*Assumptions!B137*Assumptions!B138*Assumptions!B139,0)*Assumptions!B86,0)</f>
        <v>70</v>
      </c>
      <c r="P22" s="49" t="n">
        <f aca="false">K22+L22+M22+N22+O22+X22</f>
        <v>319</v>
      </c>
      <c r="Q22" s="49" t="n">
        <f aca="false">I22-P22</f>
        <v>725</v>
      </c>
      <c r="R22" s="49" t="n">
        <f aca="false">ROUND(AB22*Assumptions!B51*Assumptions!B52,0)</f>
        <v>2220</v>
      </c>
      <c r="S22" s="50" t="n">
        <f aca="false">I22+R22+W22+AC22+AD22</f>
        <v>3554</v>
      </c>
      <c r="T22" s="49" t="n">
        <f aca="false">IF(U22&lt;P22*3,0,IF(U22&lt;P22*6,ROUND((Q22+R22+W22+AC22+AD22)*0.75*Assumptions!B113,0),ROUND((Q22+R22+W22+AC22+AD22)*0.75*Assumptions!B114,0)))</f>
        <v>927</v>
      </c>
      <c r="U22" s="50" t="n">
        <f aca="false">U21+Q22+R22+W22+AC22+AD22</f>
        <v>17196</v>
      </c>
      <c r="V22" s="51" t="str">
        <f aca="false">IF(AB22&gt;=Assumptions!B107,"Signal 6",IF(AB22&gt;=Assumptions!B106,"Signal 5",IF(AB22&gt;=Assumptions!B105,"Signal 4",IF(AB22&gt;=Assumptions!B104,"Signal 3",IF(AB22&gt;=Assumptions!B103,"Signal 2",IF(AB22&gt;=Assumptions!B102,"Signal 1","Pre-Signal 1"))))))</f>
        <v>Pre-Signal 1</v>
      </c>
      <c r="W22" s="49" t="n">
        <f aca="false">ROUND(AB22*Assumptions!B137*Assumptions!B138*Assumptions!B139*Assumptions!B136,0)</f>
        <v>247</v>
      </c>
      <c r="X22" s="49" t="n">
        <f aca="false">ROUND(AB22*Assumptions!B137*Assumptions!B65,0)</f>
        <v>41</v>
      </c>
      <c r="Y22" s="32" t="n">
        <f aca="false">ROUND(Y21*(1+Assumptions!B165),0)</f>
        <v>464</v>
      </c>
      <c r="Z22" s="33" t="n">
        <f aca="false">Assumptions!B157</f>
        <v>250</v>
      </c>
      <c r="AA22" s="32" t="n">
        <f aca="false">ROUND(Y22*Assumptions!B166,0)</f>
        <v>1</v>
      </c>
      <c r="AB22" s="34" t="n">
        <f aca="false">B22+Z22+AA22</f>
        <v>6342.15913100554</v>
      </c>
      <c r="AC22" s="35" t="n">
        <f aca="false">ROUND(IF(A22&gt;=Assumptions!B144,(IF(A22&gt;=25,Assumptions!B151,IF(A22&gt;=16,Assumptions!B150,Assumptions!B149))/1000*Assumptions!B146)+IF(A22&gt;=Assumptions!B145,(IF(A22&gt;=25,Assumptions!B151,IF(A22&gt;=16,Assumptions!B150,Assumptions!B149))*Assumptions!B152/1000*Assumptions!B147),0),0),0)</f>
        <v>43</v>
      </c>
      <c r="AD22" s="35" t="n">
        <f aca="false">IF(Y22&gt;=10000,Assumptions!B170,IF(Y22&gt;=5000,Assumptions!B169,IF(Y22&gt;=2000,Assumptions!B168,IF(Y22&gt;=500,Assumptions!B167,0))))</f>
        <v>0</v>
      </c>
    </row>
    <row r="23" customFormat="false" ht="15" hidden="false" customHeight="false" outlineLevel="0" collapsed="false">
      <c r="A23" s="36" t="n">
        <v>18</v>
      </c>
      <c r="B23" s="37" t="n">
        <f aca="false">B22*(1+Assumptions!B34)</f>
        <v>6822.0982267262</v>
      </c>
      <c r="C23" s="38" t="n">
        <f aca="false">ROUND(AB23*Assumptions!B25,0)</f>
        <v>141</v>
      </c>
      <c r="D23" s="38" t="n">
        <f aca="false">ROUND(AB23*Assumptions!B23,0)</f>
        <v>18</v>
      </c>
      <c r="E23" s="38" t="n">
        <f aca="false">E22+D23-F23</f>
        <v>104</v>
      </c>
      <c r="F23" s="38" t="n">
        <f aca="false">ROUND(E22*Assumptions!B44,0)</f>
        <v>5</v>
      </c>
      <c r="G23" s="38" t="n">
        <f aca="false">D23-F23</f>
        <v>13</v>
      </c>
      <c r="H23" s="39" t="n">
        <f aca="false">ROUND(E23*(Assumptions!B15*0.85+Assumptions!B11*0.15),0)</f>
        <v>1193</v>
      </c>
      <c r="I23" s="39" t="n">
        <f aca="false">H23</f>
        <v>1193</v>
      </c>
      <c r="J23" s="38" t="n">
        <f aca="false">ROUND(E23*Assumptions!B68,0)</f>
        <v>364</v>
      </c>
      <c r="K23" s="39" t="n">
        <f aca="false">ROUND(J23*Assumptions!B65,0)</f>
        <v>29</v>
      </c>
      <c r="L23" s="39" t="n">
        <f aca="false">Assumptions!B70+IF(E23&gt;Assumptions!B72,45,0)</f>
        <v>31</v>
      </c>
      <c r="M23" s="39" t="n">
        <f aca="false">Assumptions!B76+Assumptions!B77</f>
        <v>35</v>
      </c>
      <c r="N23" s="39" t="n">
        <f aca="false">Assumptions!B81+Assumptions!B82+Assumptions!B87/12+Assumptions!B148</f>
        <v>116</v>
      </c>
      <c r="O23" s="39" t="n">
        <f aca="false">ROUND(I23*Assumptions!B85+E23*Assumptions!B86+W23*Assumptions!B85+ROUND(AB23*Assumptions!B137*Assumptions!B138*Assumptions!B139,0)*Assumptions!B86,0)</f>
        <v>80</v>
      </c>
      <c r="P23" s="39" t="n">
        <f aca="false">K23+L23+M23+N23+O23+X23</f>
        <v>336</v>
      </c>
      <c r="Q23" s="39" t="n">
        <f aca="false">I23-P23</f>
        <v>857</v>
      </c>
      <c r="R23" s="39" t="n">
        <f aca="false">ROUND(AB23*Assumptions!B51*Assumptions!B52,0)</f>
        <v>2476</v>
      </c>
      <c r="S23" s="40" t="n">
        <f aca="false">I23+R23+W23+AC23+AD23</f>
        <v>3993</v>
      </c>
      <c r="T23" s="39" t="n">
        <f aca="false">IF(U23&lt;P23*3,0,IF(U23&lt;P23*6,ROUND((Q23+R23+W23+AC23+AD23)*0.75*Assumptions!B113,0),ROUND((Q23+R23+W23+AC23+AD23)*0.75*Assumptions!B114,0)))</f>
        <v>1048</v>
      </c>
      <c r="U23" s="40" t="n">
        <f aca="false">U22+Q23+R23+W23+AC23+AD23</f>
        <v>20853</v>
      </c>
      <c r="V23" s="41" t="str">
        <f aca="false">IF(AB23&gt;=Assumptions!B107,"Signal 6",IF(AB23&gt;=Assumptions!B106,"Signal 5",IF(AB23&gt;=Assumptions!B105,"Signal 4",IF(AB23&gt;=Assumptions!B104,"Signal 3",IF(AB23&gt;=Assumptions!B103,"Signal 2",IF(AB23&gt;=Assumptions!B102,"Signal 1","Pre-Signal 1"))))))</f>
        <v>Pre-Signal 1</v>
      </c>
      <c r="W23" s="39" t="n">
        <f aca="false">ROUND(AB23*Assumptions!B137*Assumptions!B138*Assumptions!B139*Assumptions!B136,0)</f>
        <v>276</v>
      </c>
      <c r="X23" s="39" t="n">
        <f aca="false">ROUND(AB23*Assumptions!B137*Assumptions!B65,0)</f>
        <v>45</v>
      </c>
      <c r="Y23" s="32" t="n">
        <f aca="false">ROUND(Y22*(1+Assumptions!B165),0)</f>
        <v>510</v>
      </c>
      <c r="Z23" s="33" t="n">
        <f aca="false">Assumptions!B157</f>
        <v>250</v>
      </c>
      <c r="AA23" s="32" t="n">
        <f aca="false">ROUND(Y23*Assumptions!B166,0)</f>
        <v>2</v>
      </c>
      <c r="AB23" s="34" t="n">
        <f aca="false">B23+Z23+AA23</f>
        <v>7074.0982267262</v>
      </c>
      <c r="AC23" s="35" t="n">
        <f aca="false">ROUND(IF(A23&gt;=Assumptions!B144,(IF(A23&gt;=25,Assumptions!B151,IF(A23&gt;=16,Assumptions!B150,Assumptions!B149))/1000*Assumptions!B146)+IF(A23&gt;=Assumptions!B145,(IF(A23&gt;=25,Assumptions!B151,IF(A23&gt;=16,Assumptions!B150,Assumptions!B149))*Assumptions!B152/1000*Assumptions!B147),0),0),0)</f>
        <v>43</v>
      </c>
      <c r="AD23" s="35" t="n">
        <f aca="false">IF(Y23&gt;=10000,Assumptions!B170,IF(Y23&gt;=5000,Assumptions!B169,IF(Y23&gt;=2000,Assumptions!B168,IF(Y23&gt;=500,Assumptions!B167,0))))</f>
        <v>5</v>
      </c>
    </row>
    <row r="24" customFormat="false" ht="15" hidden="false" customHeight="false" outlineLevel="0" collapsed="false">
      <c r="A24" s="46" t="n">
        <v>19</v>
      </c>
      <c r="B24" s="47" t="n">
        <f aca="false">B23*(1+Assumptions!B34)</f>
        <v>7640.75001393335</v>
      </c>
      <c r="C24" s="48" t="n">
        <f aca="false">ROUND(AB24*Assumptions!B25,0)</f>
        <v>158</v>
      </c>
      <c r="D24" s="48" t="n">
        <f aca="false">ROUND(AB24*Assumptions!B23,0)</f>
        <v>20</v>
      </c>
      <c r="E24" s="48" t="n">
        <f aca="false">E23+D24-F24</f>
        <v>118</v>
      </c>
      <c r="F24" s="48" t="n">
        <f aca="false">ROUND(E23*Assumptions!B44,0)</f>
        <v>6</v>
      </c>
      <c r="G24" s="48" t="n">
        <f aca="false">D24-F24</f>
        <v>14</v>
      </c>
      <c r="H24" s="49" t="n">
        <f aca="false">ROUND(E24*(Assumptions!B15*0.85+Assumptions!B11*0.15),0)</f>
        <v>1354</v>
      </c>
      <c r="I24" s="49" t="n">
        <f aca="false">H24</f>
        <v>1354</v>
      </c>
      <c r="J24" s="48" t="n">
        <f aca="false">ROUND(E24*Assumptions!B68,0)</f>
        <v>413</v>
      </c>
      <c r="K24" s="49" t="n">
        <f aca="false">ROUND(J24*Assumptions!B65,0)</f>
        <v>33</v>
      </c>
      <c r="L24" s="49" t="n">
        <f aca="false">Assumptions!B70+IF(E24&gt;Assumptions!B72,45,0)</f>
        <v>31</v>
      </c>
      <c r="M24" s="49" t="n">
        <f aca="false">Assumptions!B76+Assumptions!B77</f>
        <v>35</v>
      </c>
      <c r="N24" s="49" t="n">
        <f aca="false">Assumptions!B81+Assumptions!B82+Assumptions!B87/12+Assumptions!B148</f>
        <v>116</v>
      </c>
      <c r="O24" s="49" t="n">
        <f aca="false">ROUND(I24*Assumptions!B85+E24*Assumptions!B86+W24*Assumptions!B85+ROUND(AB24*Assumptions!B137*Assumptions!B138*Assumptions!B139,0)*Assumptions!B86,0)</f>
        <v>91</v>
      </c>
      <c r="P24" s="49" t="n">
        <f aca="false">K24+L24+M24+N24+O24+X24</f>
        <v>357</v>
      </c>
      <c r="Q24" s="49" t="n">
        <f aca="false">I24-P24</f>
        <v>997</v>
      </c>
      <c r="R24" s="49" t="n">
        <f aca="false">ROUND(AB24*Assumptions!B51*Assumptions!B52,0)</f>
        <v>2762</v>
      </c>
      <c r="S24" s="50" t="n">
        <f aca="false">I24+R24+W24+AC24+AD24</f>
        <v>4472</v>
      </c>
      <c r="T24" s="49" t="n">
        <f aca="false">IF(U24&lt;P24*3,0,IF(U24&lt;P24*6,ROUND((Q24+R24+W24+AC24+AD24)*0.75*Assumptions!B113,0),ROUND((Q24+R24+W24+AC24+AD24)*0.75*Assumptions!B114,0)))</f>
        <v>1179</v>
      </c>
      <c r="U24" s="50" t="n">
        <f aca="false">U23+Q24+R24+W24+AC24+AD24</f>
        <v>24968</v>
      </c>
      <c r="V24" s="51" t="str">
        <f aca="false">IF(AB24&gt;=Assumptions!B107,"Signal 6",IF(AB24&gt;=Assumptions!B106,"Signal 5",IF(AB24&gt;=Assumptions!B105,"Signal 4",IF(AB24&gt;=Assumptions!B104,"Signal 3",IF(AB24&gt;=Assumptions!B103,"Signal 2",IF(AB24&gt;=Assumptions!B102,"Signal 1","Pre-Signal 1"))))))</f>
        <v>Pre-Signal 1</v>
      </c>
      <c r="W24" s="49" t="n">
        <f aca="false">ROUND(AB24*Assumptions!B137*Assumptions!B138*Assumptions!B139*Assumptions!B136,0)</f>
        <v>308</v>
      </c>
      <c r="X24" s="49" t="n">
        <f aca="false">ROUND(AB24*Assumptions!B137*Assumptions!B65,0)</f>
        <v>51</v>
      </c>
      <c r="Y24" s="32" t="n">
        <f aca="false">ROUND(Y23*(1+Assumptions!B165),0)</f>
        <v>561</v>
      </c>
      <c r="Z24" s="33" t="n">
        <f aca="false">Assumptions!B157</f>
        <v>250</v>
      </c>
      <c r="AA24" s="32" t="n">
        <f aca="false">ROUND(Y24*Assumptions!B166,0)</f>
        <v>2</v>
      </c>
      <c r="AB24" s="34" t="n">
        <f aca="false">B24+Z24+AA24</f>
        <v>7892.75001393335</v>
      </c>
      <c r="AC24" s="35" t="n">
        <f aca="false">ROUND(IF(A24&gt;=Assumptions!B144,(IF(A24&gt;=25,Assumptions!B151,IF(A24&gt;=16,Assumptions!B150,Assumptions!B149))/1000*Assumptions!B146)+IF(A24&gt;=Assumptions!B145,(IF(A24&gt;=25,Assumptions!B151,IF(A24&gt;=16,Assumptions!B150,Assumptions!B149))*Assumptions!B152/1000*Assumptions!B147),0),0),0)</f>
        <v>43</v>
      </c>
      <c r="AD24" s="35" t="n">
        <f aca="false">IF(Y24&gt;=10000,Assumptions!B170,IF(Y24&gt;=5000,Assumptions!B169,IF(Y24&gt;=2000,Assumptions!B168,IF(Y24&gt;=500,Assumptions!B167,0))))</f>
        <v>5</v>
      </c>
    </row>
    <row r="25" customFormat="false" ht="15" hidden="false" customHeight="false" outlineLevel="0" collapsed="false">
      <c r="A25" s="36" t="n">
        <v>20</v>
      </c>
      <c r="B25" s="37" t="n">
        <f aca="false">B24*(1+Assumptions!B34)</f>
        <v>8557.64001560535</v>
      </c>
      <c r="C25" s="38" t="n">
        <f aca="false">ROUND(AB25*Assumptions!B25,0)</f>
        <v>176</v>
      </c>
      <c r="D25" s="38" t="n">
        <f aca="false">ROUND(AB25*Assumptions!B23,0)</f>
        <v>22</v>
      </c>
      <c r="E25" s="38" t="n">
        <f aca="false">E24+D25-F25</f>
        <v>133</v>
      </c>
      <c r="F25" s="38" t="n">
        <f aca="false">ROUND(E24*Assumptions!B44,0)</f>
        <v>7</v>
      </c>
      <c r="G25" s="38" t="n">
        <f aca="false">D25-F25</f>
        <v>15</v>
      </c>
      <c r="H25" s="39" t="n">
        <f aca="false">ROUND(E25*(Assumptions!B15*0.85+Assumptions!B11*0.15),0)</f>
        <v>1526</v>
      </c>
      <c r="I25" s="39" t="n">
        <f aca="false">H25</f>
        <v>1526</v>
      </c>
      <c r="J25" s="38" t="n">
        <f aca="false">ROUND(E25*Assumptions!B68,0)</f>
        <v>466</v>
      </c>
      <c r="K25" s="39" t="n">
        <f aca="false">ROUND(J25*Assumptions!B65,0)</f>
        <v>37</v>
      </c>
      <c r="L25" s="39" t="n">
        <f aca="false">Assumptions!B70+IF(E25&gt;Assumptions!B72,45,0)</f>
        <v>31</v>
      </c>
      <c r="M25" s="39" t="n">
        <f aca="false">Assumptions!B76+Assumptions!B77</f>
        <v>35</v>
      </c>
      <c r="N25" s="39" t="n">
        <f aca="false">Assumptions!B81+Assumptions!B82+Assumptions!B87/12+Assumptions!B148</f>
        <v>116</v>
      </c>
      <c r="O25" s="39" t="n">
        <f aca="false">ROUND(I25*Assumptions!B85+E25*Assumptions!B86+W25*Assumptions!B85+ROUND(AB25*Assumptions!B137*Assumptions!B138*Assumptions!B139,0)*Assumptions!B86,0)</f>
        <v>102</v>
      </c>
      <c r="P25" s="39" t="n">
        <f aca="false">K25+L25+M25+N25+O25+X25</f>
        <v>377</v>
      </c>
      <c r="Q25" s="39" t="n">
        <f aca="false">I25-P25</f>
        <v>1149</v>
      </c>
      <c r="R25" s="39" t="n">
        <f aca="false">ROUND(AB25*Assumptions!B51*Assumptions!B52,0)</f>
        <v>3083</v>
      </c>
      <c r="S25" s="40" t="n">
        <f aca="false">I25+R25+W25+AC25+AD25</f>
        <v>5001</v>
      </c>
      <c r="T25" s="39" t="n">
        <f aca="false">IF(U25&lt;P25*3,0,IF(U25&lt;P25*6,ROUND((Q25+R25+W25+AC25+AD25)*0.75*Assumptions!B113,0),ROUND((Q25+R25+W25+AC25+AD25)*0.75*Assumptions!B114,0)))</f>
        <v>1325</v>
      </c>
      <c r="U25" s="40" t="n">
        <f aca="false">U24+Q25+R25+W25+AC25+AD25</f>
        <v>29592</v>
      </c>
      <c r="V25" s="41" t="str">
        <f aca="false">IF(AB25&gt;=Assumptions!B107,"Signal 6",IF(AB25&gt;=Assumptions!B106,"Signal 5",IF(AB25&gt;=Assumptions!B105,"Signal 4",IF(AB25&gt;=Assumptions!B104,"Signal 3",IF(AB25&gt;=Assumptions!B103,"Signal 2",IF(AB25&gt;=Assumptions!B102,"Signal 1","Pre-Signal 1"))))))</f>
        <v>Pre-Signal 1</v>
      </c>
      <c r="W25" s="39" t="n">
        <f aca="false">ROUND(AB25*Assumptions!B137*Assumptions!B138*Assumptions!B139*Assumptions!B136,0)</f>
        <v>344</v>
      </c>
      <c r="X25" s="39" t="n">
        <f aca="false">ROUND(AB25*Assumptions!B137*Assumptions!B65,0)</f>
        <v>56</v>
      </c>
      <c r="Y25" s="32" t="n">
        <f aca="false">ROUND(Y24*(1+Assumptions!B165),0)</f>
        <v>617</v>
      </c>
      <c r="Z25" s="33" t="n">
        <f aca="false">Assumptions!B157</f>
        <v>250</v>
      </c>
      <c r="AA25" s="32" t="n">
        <f aca="false">ROUND(Y25*Assumptions!B166,0)</f>
        <v>2</v>
      </c>
      <c r="AB25" s="34" t="n">
        <f aca="false">B25+Z25+AA25</f>
        <v>8809.64001560535</v>
      </c>
      <c r="AC25" s="35" t="n">
        <f aca="false">ROUND(IF(A25&gt;=Assumptions!B144,(IF(A25&gt;=25,Assumptions!B151,IF(A25&gt;=16,Assumptions!B150,Assumptions!B149))/1000*Assumptions!B146)+IF(A25&gt;=Assumptions!B145,(IF(A25&gt;=25,Assumptions!B151,IF(A25&gt;=16,Assumptions!B150,Assumptions!B149))*Assumptions!B152/1000*Assumptions!B147),0),0),0)</f>
        <v>43</v>
      </c>
      <c r="AD25" s="35" t="n">
        <f aca="false">IF(Y25&gt;=10000,Assumptions!B170,IF(Y25&gt;=5000,Assumptions!B169,IF(Y25&gt;=2000,Assumptions!B168,IF(Y25&gt;=500,Assumptions!B167,0))))</f>
        <v>5</v>
      </c>
    </row>
    <row r="26" customFormat="false" ht="15" hidden="false" customHeight="false" outlineLevel="0" collapsed="false">
      <c r="A26" s="46" t="n">
        <v>21</v>
      </c>
      <c r="B26" s="47" t="n">
        <f aca="false">B25*(1+Assumptions!B34)</f>
        <v>9584.55681747799</v>
      </c>
      <c r="C26" s="48" t="n">
        <f aca="false">ROUND(AB26*Assumptions!B25,0)</f>
        <v>197</v>
      </c>
      <c r="D26" s="48" t="n">
        <f aca="false">ROUND(AB26*Assumptions!B23,0)</f>
        <v>25</v>
      </c>
      <c r="E26" s="48" t="n">
        <f aca="false">E25+D26-F26</f>
        <v>150</v>
      </c>
      <c r="F26" s="48" t="n">
        <f aca="false">ROUND(E25*Assumptions!B44,0)</f>
        <v>8</v>
      </c>
      <c r="G26" s="48" t="n">
        <f aca="false">D26-F26</f>
        <v>17</v>
      </c>
      <c r="H26" s="49" t="n">
        <f aca="false">ROUND(E26*(Assumptions!B15*0.85+Assumptions!B11*0.15),0)</f>
        <v>1721</v>
      </c>
      <c r="I26" s="49" t="n">
        <f aca="false">H26</f>
        <v>1721</v>
      </c>
      <c r="J26" s="48" t="n">
        <f aca="false">ROUND(E26*Assumptions!B68,0)</f>
        <v>525</v>
      </c>
      <c r="K26" s="49" t="n">
        <f aca="false">ROUND(J26*Assumptions!B65,0)</f>
        <v>42</v>
      </c>
      <c r="L26" s="49" t="n">
        <f aca="false">Assumptions!B70+IF(E26&gt;Assumptions!B72,45,0)</f>
        <v>31</v>
      </c>
      <c r="M26" s="49" t="n">
        <f aca="false">Assumptions!B76+Assumptions!B77</f>
        <v>35</v>
      </c>
      <c r="N26" s="49" t="n">
        <f aca="false">Assumptions!B81+Assumptions!B82+Assumptions!B87/12+Assumptions!B148</f>
        <v>116</v>
      </c>
      <c r="O26" s="49" t="n">
        <f aca="false">ROUND(I26*Assumptions!B85+E26*Assumptions!B86+W26*Assumptions!B85+ROUND(AB26*Assumptions!B137*Assumptions!B138*Assumptions!B139,0)*Assumptions!B86,0)</f>
        <v>115</v>
      </c>
      <c r="P26" s="49" t="n">
        <f aca="false">K26+L26+M26+N26+O26+X26</f>
        <v>402</v>
      </c>
      <c r="Q26" s="49" t="n">
        <f aca="false">I26-P26</f>
        <v>1319</v>
      </c>
      <c r="R26" s="49" t="n">
        <f aca="false">ROUND(AB26*Assumptions!B51*Assumptions!B52,0)</f>
        <v>3443</v>
      </c>
      <c r="S26" s="50" t="n">
        <f aca="false">I26+R26+W26+AC26+AD26</f>
        <v>5596</v>
      </c>
      <c r="T26" s="49" t="n">
        <f aca="false">IF(U26&lt;P26*3,0,IF(U26&lt;P26*6,ROUND((Q26+R26+W26+AC26+AD26)*0.75*Assumptions!B113,0),ROUND((Q26+R26+W26+AC26+AD26)*0.75*Assumptions!B114,0)))</f>
        <v>1488</v>
      </c>
      <c r="U26" s="50" t="n">
        <f aca="false">U25+Q26+R26+W26+AC26+AD26</f>
        <v>34786</v>
      </c>
      <c r="V26" s="51" t="str">
        <f aca="false">IF(AB26&gt;=Assumptions!B107,"Signal 6",IF(AB26&gt;=Assumptions!B106,"Signal 5",IF(AB26&gt;=Assumptions!B105,"Signal 4",IF(AB26&gt;=Assumptions!B104,"Signal 3",IF(AB26&gt;=Assumptions!B103,"Signal 2",IF(AB26&gt;=Assumptions!B102,"Signal 1","Pre-Signal 1"))))))</f>
        <v>Pre-Signal 1</v>
      </c>
      <c r="W26" s="49" t="n">
        <f aca="false">ROUND(AB26*Assumptions!B137*Assumptions!B138*Assumptions!B139*Assumptions!B136,0)</f>
        <v>384</v>
      </c>
      <c r="X26" s="49" t="n">
        <f aca="false">ROUND(AB26*Assumptions!B137*Assumptions!B65,0)</f>
        <v>63</v>
      </c>
      <c r="Y26" s="32" t="n">
        <f aca="false">ROUND(Y25*(1+Assumptions!B165),0)</f>
        <v>679</v>
      </c>
      <c r="Z26" s="33" t="n">
        <f aca="false">Assumptions!B157</f>
        <v>250</v>
      </c>
      <c r="AA26" s="32" t="n">
        <f aca="false">ROUND(Y26*Assumptions!B166,0)</f>
        <v>2</v>
      </c>
      <c r="AB26" s="34" t="n">
        <f aca="false">B26+Z26+AA26</f>
        <v>9836.55681747799</v>
      </c>
      <c r="AC26" s="35" t="n">
        <f aca="false">ROUND(IF(A26&gt;=Assumptions!B144,(IF(A26&gt;=25,Assumptions!B151,IF(A26&gt;=16,Assumptions!B150,Assumptions!B149))/1000*Assumptions!B146)+IF(A26&gt;=Assumptions!B145,(IF(A26&gt;=25,Assumptions!B151,IF(A26&gt;=16,Assumptions!B150,Assumptions!B149))*Assumptions!B152/1000*Assumptions!B147),0),0),0)</f>
        <v>43</v>
      </c>
      <c r="AD26" s="35" t="n">
        <f aca="false">IF(Y26&gt;=10000,Assumptions!B170,IF(Y26&gt;=5000,Assumptions!B169,IF(Y26&gt;=2000,Assumptions!B168,IF(Y26&gt;=500,Assumptions!B167,0))))</f>
        <v>5</v>
      </c>
    </row>
    <row r="27" customFormat="false" ht="15" hidden="false" customHeight="false" outlineLevel="0" collapsed="false">
      <c r="A27" s="36" t="n">
        <v>22</v>
      </c>
      <c r="B27" s="37" t="n">
        <f aca="false">B26*(1+Assumptions!B34)</f>
        <v>10734.7036355754</v>
      </c>
      <c r="C27" s="38" t="n">
        <f aca="false">ROUND(AB27*Assumptions!B25,0)</f>
        <v>220</v>
      </c>
      <c r="D27" s="38" t="n">
        <f aca="false">ROUND(AB27*Assumptions!B23,0)</f>
        <v>27</v>
      </c>
      <c r="E27" s="38" t="n">
        <f aca="false">E26+D27-F27</f>
        <v>168</v>
      </c>
      <c r="F27" s="38" t="n">
        <f aca="false">ROUND(E26*Assumptions!B44,0)</f>
        <v>9</v>
      </c>
      <c r="G27" s="38" t="n">
        <f aca="false">D27-F27</f>
        <v>18</v>
      </c>
      <c r="H27" s="39" t="n">
        <f aca="false">ROUND(E27*(Assumptions!B15*0.85+Assumptions!B11*0.15),0)</f>
        <v>1928</v>
      </c>
      <c r="I27" s="39" t="n">
        <f aca="false">H27</f>
        <v>1928</v>
      </c>
      <c r="J27" s="38" t="n">
        <f aca="false">ROUND(E27*Assumptions!B68,0)</f>
        <v>588</v>
      </c>
      <c r="K27" s="39" t="n">
        <f aca="false">ROUND(J27*Assumptions!B65,0)</f>
        <v>47</v>
      </c>
      <c r="L27" s="39" t="n">
        <f aca="false">Assumptions!B70+IF(E27&gt;Assumptions!B72,45,0)</f>
        <v>31</v>
      </c>
      <c r="M27" s="39" t="n">
        <f aca="false">Assumptions!B76+Assumptions!B77</f>
        <v>35</v>
      </c>
      <c r="N27" s="39" t="n">
        <f aca="false">Assumptions!B81+Assumptions!B82+Assumptions!B87/12+Assumptions!B148</f>
        <v>116</v>
      </c>
      <c r="O27" s="39" t="n">
        <f aca="false">ROUND(I27*Assumptions!B85+E27*Assumptions!B86+W27*Assumptions!B85+ROUND(AB27*Assumptions!B137*Assumptions!B138*Assumptions!B139,0)*Assumptions!B86,0)</f>
        <v>129</v>
      </c>
      <c r="P27" s="39" t="n">
        <f aca="false">K27+L27+M27+N27+O27+X27</f>
        <v>428</v>
      </c>
      <c r="Q27" s="39" t="n">
        <f aca="false">I27-P27</f>
        <v>1500</v>
      </c>
      <c r="R27" s="39" t="n">
        <f aca="false">ROUND(AB27*Assumptions!B51*Assumptions!B52,0)</f>
        <v>3845</v>
      </c>
      <c r="S27" s="40" t="n">
        <f aca="false">I27+R27+W27+AC27+AD27</f>
        <v>6249</v>
      </c>
      <c r="T27" s="39" t="n">
        <f aca="false">IF(U27&lt;P27*3,0,IF(U27&lt;P27*6,ROUND((Q27+R27+W27+AC27+AD27)*0.75*Assumptions!B113,0),ROUND((Q27+R27+W27+AC27+AD27)*0.75*Assumptions!B114,0)))</f>
        <v>1668</v>
      </c>
      <c r="U27" s="40" t="n">
        <f aca="false">U26+Q27+R27+W27+AC27+AD27</f>
        <v>40607</v>
      </c>
      <c r="V27" s="41" t="str">
        <f aca="false">IF(AB27&gt;=Assumptions!B107,"Signal 6",IF(AB27&gt;=Assumptions!B106,"Signal 5",IF(AB27&gt;=Assumptions!B105,"Signal 4",IF(AB27&gt;=Assumptions!B104,"Signal 3",IF(AB27&gt;=Assumptions!B103,"Signal 2",IF(AB27&gt;=Assumptions!B102,"Signal 1","Pre-Signal 1"))))))</f>
        <v>Signal 1</v>
      </c>
      <c r="W27" s="39" t="n">
        <f aca="false">ROUND(AB27*Assumptions!B137*Assumptions!B138*Assumptions!B139*Assumptions!B136,0)</f>
        <v>428</v>
      </c>
      <c r="X27" s="39" t="n">
        <f aca="false">ROUND(AB27*Assumptions!B137*Assumptions!B65,0)</f>
        <v>70</v>
      </c>
      <c r="Y27" s="32" t="n">
        <f aca="false">ROUND(Y26*(1+Assumptions!B165),0)</f>
        <v>747</v>
      </c>
      <c r="Z27" s="33" t="n">
        <f aca="false">Assumptions!B157</f>
        <v>250</v>
      </c>
      <c r="AA27" s="32" t="n">
        <f aca="false">ROUND(Y27*Assumptions!B166,0)</f>
        <v>2</v>
      </c>
      <c r="AB27" s="34" t="n">
        <f aca="false">B27+Z27+AA27</f>
        <v>10986.7036355754</v>
      </c>
      <c r="AC27" s="35" t="n">
        <f aca="false">ROUND(IF(A27&gt;=Assumptions!B144,(IF(A27&gt;=25,Assumptions!B151,IF(A27&gt;=16,Assumptions!B150,Assumptions!B149))/1000*Assumptions!B146)+IF(A27&gt;=Assumptions!B145,(IF(A27&gt;=25,Assumptions!B151,IF(A27&gt;=16,Assumptions!B150,Assumptions!B149))*Assumptions!B152/1000*Assumptions!B147),0),0),0)</f>
        <v>43</v>
      </c>
      <c r="AD27" s="35" t="n">
        <f aca="false">IF(Y27&gt;=10000,Assumptions!B170,IF(Y27&gt;=5000,Assumptions!B169,IF(Y27&gt;=2000,Assumptions!B168,IF(Y27&gt;=500,Assumptions!B167,0))))</f>
        <v>5</v>
      </c>
    </row>
    <row r="28" customFormat="false" ht="15" hidden="false" customHeight="false" outlineLevel="0" collapsed="false">
      <c r="A28" s="46" t="n">
        <v>23</v>
      </c>
      <c r="B28" s="47" t="n">
        <f aca="false">B27*(1+Assumptions!B34)</f>
        <v>12022.8680718444</v>
      </c>
      <c r="C28" s="48" t="n">
        <f aca="false">ROUND(AB28*Assumptions!B25,0)</f>
        <v>245</v>
      </c>
      <c r="D28" s="48" t="n">
        <f aca="false">ROUND(AB28*Assumptions!B23,0)</f>
        <v>31</v>
      </c>
      <c r="E28" s="48" t="n">
        <f aca="false">E27+D28-F28</f>
        <v>189</v>
      </c>
      <c r="F28" s="48" t="n">
        <f aca="false">ROUND(E27*Assumptions!B44,0)</f>
        <v>10</v>
      </c>
      <c r="G28" s="48" t="n">
        <f aca="false">D28-F28</f>
        <v>21</v>
      </c>
      <c r="H28" s="49" t="n">
        <f aca="false">ROUND(E28*(Assumptions!B15*0.85+Assumptions!B11*0.15),0)</f>
        <v>2169</v>
      </c>
      <c r="I28" s="49" t="n">
        <f aca="false">H28</f>
        <v>2169</v>
      </c>
      <c r="J28" s="48" t="n">
        <f aca="false">ROUND(E28*Assumptions!B68,0)</f>
        <v>662</v>
      </c>
      <c r="K28" s="49" t="n">
        <f aca="false">ROUND(J28*Assumptions!B65,0)</f>
        <v>53</v>
      </c>
      <c r="L28" s="49" t="n">
        <f aca="false">Assumptions!B70+IF(E28&gt;Assumptions!B72,45,0)</f>
        <v>31</v>
      </c>
      <c r="M28" s="49" t="n">
        <f aca="false">Assumptions!B76+Assumptions!B77</f>
        <v>35</v>
      </c>
      <c r="N28" s="49" t="n">
        <f aca="false">Assumptions!B81+Assumptions!B82+Assumptions!B87/12+Assumptions!B148</f>
        <v>116</v>
      </c>
      <c r="O28" s="49" t="n">
        <f aca="false">ROUND(I28*Assumptions!B85+E28*Assumptions!B86+W28*Assumptions!B85+ROUND(AB28*Assumptions!B137*Assumptions!B138*Assumptions!B139,0)*Assumptions!B86,0)</f>
        <v>145</v>
      </c>
      <c r="P28" s="49" t="n">
        <f aca="false">K28+L28+M28+N28+O28+X28</f>
        <v>459</v>
      </c>
      <c r="Q28" s="49" t="n">
        <f aca="false">I28-P28</f>
        <v>1710</v>
      </c>
      <c r="R28" s="49" t="n">
        <f aca="false">ROUND(AB28*Assumptions!B51*Assumptions!B52,0)</f>
        <v>4296</v>
      </c>
      <c r="S28" s="50" t="n">
        <f aca="false">I28+R28+W28+AC28+AD28</f>
        <v>6992</v>
      </c>
      <c r="T28" s="49" t="n">
        <f aca="false">IF(U28&lt;P28*3,0,IF(U28&lt;P28*6,ROUND((Q28+R28+W28+AC28+AD28)*0.75*Assumptions!B113,0),ROUND((Q28+R28+W28+AC28+AD28)*0.75*Assumptions!B114,0)))</f>
        <v>1872</v>
      </c>
      <c r="U28" s="50" t="n">
        <f aca="false">U27+Q28+R28+W28+AC28+AD28</f>
        <v>47140</v>
      </c>
      <c r="V28" s="51" t="str">
        <f aca="false">IF(AB28&gt;=Assumptions!B107,"Signal 6",IF(AB28&gt;=Assumptions!B106,"Signal 5",IF(AB28&gt;=Assumptions!B105,"Signal 4",IF(AB28&gt;=Assumptions!B104,"Signal 3",IF(AB28&gt;=Assumptions!B103,"Signal 2",IF(AB28&gt;=Assumptions!B102,"Signal 1","Pre-Signal 1"))))))</f>
        <v>Signal 1</v>
      </c>
      <c r="W28" s="49" t="n">
        <f aca="false">ROUND(AB28*Assumptions!B137*Assumptions!B138*Assumptions!B139*Assumptions!B136,0)</f>
        <v>479</v>
      </c>
      <c r="X28" s="49" t="n">
        <f aca="false">ROUND(AB28*Assumptions!B137*Assumptions!B65,0)</f>
        <v>79</v>
      </c>
      <c r="Y28" s="32" t="n">
        <f aca="false">ROUND(Y27*(1+Assumptions!B165),0)</f>
        <v>822</v>
      </c>
      <c r="Z28" s="33" t="n">
        <f aca="false">Assumptions!B157</f>
        <v>250</v>
      </c>
      <c r="AA28" s="32" t="n">
        <f aca="false">ROUND(Y28*Assumptions!B166,0)</f>
        <v>2</v>
      </c>
      <c r="AB28" s="34" t="n">
        <f aca="false">B28+Z28+AA28</f>
        <v>12274.8680718444</v>
      </c>
      <c r="AC28" s="35" t="n">
        <f aca="false">ROUND(IF(A28&gt;=Assumptions!B144,(IF(A28&gt;=25,Assumptions!B151,IF(A28&gt;=16,Assumptions!B150,Assumptions!B149))/1000*Assumptions!B146)+IF(A28&gt;=Assumptions!B145,(IF(A28&gt;=25,Assumptions!B151,IF(A28&gt;=16,Assumptions!B150,Assumptions!B149))*Assumptions!B152/1000*Assumptions!B147),0),0),0)</f>
        <v>43</v>
      </c>
      <c r="AD28" s="35" t="n">
        <f aca="false">IF(Y28&gt;=10000,Assumptions!B170,IF(Y28&gt;=5000,Assumptions!B169,IF(Y28&gt;=2000,Assumptions!B168,IF(Y28&gt;=500,Assumptions!B167,0))))</f>
        <v>5</v>
      </c>
    </row>
    <row r="29" customFormat="false" ht="15" hidden="false" customHeight="false" outlineLevel="0" collapsed="false">
      <c r="A29" s="36" t="n">
        <v>24</v>
      </c>
      <c r="B29" s="37" t="n">
        <f aca="false">B28*(1+Assumptions!B34)</f>
        <v>13465.6122404657</v>
      </c>
      <c r="C29" s="38" t="n">
        <f aca="false">ROUND(AB29*Assumptions!B25,0)</f>
        <v>274</v>
      </c>
      <c r="D29" s="38" t="n">
        <f aca="false">ROUND(AB29*Assumptions!B23,0)</f>
        <v>34</v>
      </c>
      <c r="E29" s="38" t="n">
        <f aca="false">E28+D29-F29</f>
        <v>212</v>
      </c>
      <c r="F29" s="38" t="n">
        <f aca="false">ROUND(E28*Assumptions!B44,0)</f>
        <v>11</v>
      </c>
      <c r="G29" s="38" t="n">
        <f aca="false">D29-F29</f>
        <v>23</v>
      </c>
      <c r="H29" s="39" t="n">
        <f aca="false">ROUND(E29*(Assumptions!B15*0.85+Assumptions!B11*0.15),0)</f>
        <v>2433</v>
      </c>
      <c r="I29" s="39" t="n">
        <f aca="false">H29</f>
        <v>2433</v>
      </c>
      <c r="J29" s="38" t="n">
        <f aca="false">ROUND(E29*Assumptions!B68,0)</f>
        <v>742</v>
      </c>
      <c r="K29" s="39" t="n">
        <f aca="false">ROUND(J29*Assumptions!B65,0)</f>
        <v>59</v>
      </c>
      <c r="L29" s="39" t="n">
        <f aca="false">Assumptions!B70+IF(E29&gt;Assumptions!B72,45,0)</f>
        <v>31</v>
      </c>
      <c r="M29" s="39" t="n">
        <f aca="false">Assumptions!B76+Assumptions!B77</f>
        <v>35</v>
      </c>
      <c r="N29" s="39" t="n">
        <f aca="false">Assumptions!B81+Assumptions!B82+Assumptions!B87/12+Assumptions!B148</f>
        <v>116</v>
      </c>
      <c r="O29" s="39" t="n">
        <f aca="false">ROUND(I29*Assumptions!B85+E29*Assumptions!B86+W29*Assumptions!B85+ROUND(AB29*Assumptions!B137*Assumptions!B138*Assumptions!B139,0)*Assumptions!B86,0)</f>
        <v>162</v>
      </c>
      <c r="P29" s="39" t="n">
        <f aca="false">K29+L29+M29+N29+O29+X29</f>
        <v>491</v>
      </c>
      <c r="Q29" s="39" t="n">
        <f aca="false">I29-P29</f>
        <v>1942</v>
      </c>
      <c r="R29" s="39" t="n">
        <f aca="false">ROUND(AB29*Assumptions!B51*Assumptions!B52,0)</f>
        <v>4802</v>
      </c>
      <c r="S29" s="40" t="n">
        <f aca="false">I29+R29+W29+AC29+AD29</f>
        <v>7818</v>
      </c>
      <c r="T29" s="39" t="n">
        <f aca="false">IF(U29&lt;P29*3,0,IF(U29&lt;P29*6,ROUND((Q29+R29+W29+AC29+AD29)*0.75*Assumptions!B113,0),ROUND((Q29+R29+W29+AC29+AD29)*0.75*Assumptions!B114,0)))</f>
        <v>2099</v>
      </c>
      <c r="U29" s="40" t="n">
        <f aca="false">U28+Q29+R29+W29+AC29+AD29</f>
        <v>54467</v>
      </c>
      <c r="V29" s="41" t="str">
        <f aca="false">IF(AB29&gt;=Assumptions!B107,"Signal 6",IF(AB29&gt;=Assumptions!B106,"Signal 5",IF(AB29&gt;=Assumptions!B105,"Signal 4",IF(AB29&gt;=Assumptions!B104,"Signal 3",IF(AB29&gt;=Assumptions!B103,"Signal 2",IF(AB29&gt;=Assumptions!B102,"Signal 1","Pre-Signal 1"))))))</f>
        <v>Signal 1</v>
      </c>
      <c r="W29" s="39" t="n">
        <f aca="false">ROUND(AB29*Assumptions!B137*Assumptions!B138*Assumptions!B139*Assumptions!B136,0)</f>
        <v>535</v>
      </c>
      <c r="X29" s="39" t="n">
        <f aca="false">ROUND(AB29*Assumptions!B137*Assumptions!B65,0)</f>
        <v>88</v>
      </c>
      <c r="Y29" s="32" t="n">
        <f aca="false">ROUND(Y28*(1+Assumptions!B165),0)</f>
        <v>904</v>
      </c>
      <c r="Z29" s="33" t="n">
        <f aca="false">Assumptions!B157</f>
        <v>250</v>
      </c>
      <c r="AA29" s="32" t="n">
        <f aca="false">ROUND(Y29*Assumptions!B166,0)</f>
        <v>3</v>
      </c>
      <c r="AB29" s="34" t="n">
        <f aca="false">B29+Z29+AA29</f>
        <v>13718.6122404657</v>
      </c>
      <c r="AC29" s="35" t="n">
        <f aca="false">ROUND(IF(A29&gt;=Assumptions!B144,(IF(A29&gt;=25,Assumptions!B151,IF(A29&gt;=16,Assumptions!B150,Assumptions!B149))/1000*Assumptions!B146)+IF(A29&gt;=Assumptions!B145,(IF(A29&gt;=25,Assumptions!B151,IF(A29&gt;=16,Assumptions!B150,Assumptions!B149))*Assumptions!B152/1000*Assumptions!B147),0),0),0)</f>
        <v>43</v>
      </c>
      <c r="AD29" s="35" t="n">
        <f aca="false">IF(Y29&gt;=10000,Assumptions!B170,IF(Y29&gt;=5000,Assumptions!B169,IF(Y29&gt;=2000,Assumptions!B168,IF(Y29&gt;=500,Assumptions!B167,0))))</f>
        <v>5</v>
      </c>
    </row>
    <row r="30" customFormat="false" ht="15" hidden="false" customHeight="false" outlineLevel="0" collapsed="false">
      <c r="A30" s="46" t="n">
        <v>25</v>
      </c>
      <c r="B30" s="47" t="n">
        <f aca="false">B29*(1+Assumptions!B34)</f>
        <v>15081.4857093216</v>
      </c>
      <c r="C30" s="48" t="n">
        <f aca="false">ROUND(AB30*Assumptions!B25,0)</f>
        <v>310</v>
      </c>
      <c r="D30" s="48" t="n">
        <f aca="false">ROUND(AB30*Assumptions!B23,0)</f>
        <v>39</v>
      </c>
      <c r="E30" s="48" t="n">
        <f aca="false">E29+D30-F30</f>
        <v>238</v>
      </c>
      <c r="F30" s="48" t="n">
        <f aca="false">ROUND(E29*Assumptions!B44,0)</f>
        <v>13</v>
      </c>
      <c r="G30" s="48" t="n">
        <f aca="false">D30-F30</f>
        <v>26</v>
      </c>
      <c r="H30" s="49" t="n">
        <f aca="false">ROUND(E30*(Assumptions!B15*0.85+Assumptions!B11*0.15),0)</f>
        <v>2731</v>
      </c>
      <c r="I30" s="49" t="n">
        <f aca="false">H30</f>
        <v>2731</v>
      </c>
      <c r="J30" s="48" t="n">
        <f aca="false">ROUND(E30*Assumptions!B68,0)</f>
        <v>833</v>
      </c>
      <c r="K30" s="49" t="n">
        <f aca="false">ROUND(J30*Assumptions!B65,0)</f>
        <v>67</v>
      </c>
      <c r="L30" s="49" t="n">
        <f aca="false">Assumptions!B70+IF(E30&gt;Assumptions!B72,45,0)</f>
        <v>31</v>
      </c>
      <c r="M30" s="49" t="n">
        <f aca="false">Assumptions!B76+Assumptions!B77</f>
        <v>35</v>
      </c>
      <c r="N30" s="49" t="n">
        <f aca="false">Assumptions!B81+Assumptions!B82+Assumptions!B87/12+Assumptions!B148</f>
        <v>116</v>
      </c>
      <c r="O30" s="49" t="n">
        <f aca="false">ROUND(I30*Assumptions!B85+E30*Assumptions!B86+W30*Assumptions!B85+ROUND(AB30*Assumptions!B137*Assumptions!B138*Assumptions!B139,0)*Assumptions!B86,0)</f>
        <v>182</v>
      </c>
      <c r="P30" s="49" t="n">
        <f aca="false">K30+L30+M30+N30+O30+X30</f>
        <v>530</v>
      </c>
      <c r="Q30" s="49" t="n">
        <f aca="false">I30-P30</f>
        <v>2201</v>
      </c>
      <c r="R30" s="49" t="n">
        <f aca="false">ROUND(AB30*Assumptions!B51*Assumptions!B52,0)</f>
        <v>5420</v>
      </c>
      <c r="S30" s="50" t="n">
        <f aca="false">I30+R30+W30+AC30+AD30</f>
        <v>8836</v>
      </c>
      <c r="T30" s="49" t="n">
        <f aca="false">IF(U30&lt;P30*3,0,IF(U30&lt;P30*6,ROUND((Q30+R30+W30+AC30+AD30)*0.75*Assumptions!B113,0),ROUND((Q30+R30+W30+AC30+AD30)*0.75*Assumptions!B114,0)))</f>
        <v>2380</v>
      </c>
      <c r="U30" s="50" t="n">
        <f aca="false">U29+Q30+R30+W30+AC30+AD30</f>
        <v>62773</v>
      </c>
      <c r="V30" s="51" t="str">
        <f aca="false">IF(AB30&gt;=Assumptions!B107,"Signal 6",IF(AB30&gt;=Assumptions!B106,"Signal 5",IF(AB30&gt;=Assumptions!B105,"Signal 4",IF(AB30&gt;=Assumptions!B104,"Signal 3",IF(AB30&gt;=Assumptions!B103,"Signal 2",IF(AB30&gt;=Assumptions!B102,"Signal 1","Pre-Signal 1"))))))</f>
        <v>Signal 1</v>
      </c>
      <c r="W30" s="49" t="n">
        <f aca="false">ROUND(AB30*Assumptions!B137*Assumptions!B138*Assumptions!B139*Assumptions!B136,0)</f>
        <v>604</v>
      </c>
      <c r="X30" s="49" t="n">
        <f aca="false">ROUND(AB30*Assumptions!B137*Assumptions!B65,0)</f>
        <v>99</v>
      </c>
      <c r="Y30" s="32" t="n">
        <f aca="false">ROUND(Y29*(1+Assumptions!B165),0)</f>
        <v>994</v>
      </c>
      <c r="Z30" s="33" t="n">
        <f aca="false">Assumptions!B158</f>
        <v>400</v>
      </c>
      <c r="AA30" s="32" t="n">
        <f aca="false">ROUND(Y30*Assumptions!B166,0)</f>
        <v>3</v>
      </c>
      <c r="AB30" s="34" t="n">
        <f aca="false">B30+Z30+AA30</f>
        <v>15484.4857093216</v>
      </c>
      <c r="AC30" s="35" t="n">
        <f aca="false">ROUND(IF(A30&gt;=Assumptions!B144,(IF(A30&gt;=25,Assumptions!B151,IF(A30&gt;=16,Assumptions!B150,Assumptions!B149))/1000*Assumptions!B146)+IF(A30&gt;=Assumptions!B145,(IF(A30&gt;=25,Assumptions!B151,IF(A30&gt;=16,Assumptions!B150,Assumptions!B149))*Assumptions!B152/1000*Assumptions!B147),0),0),0)</f>
        <v>76</v>
      </c>
      <c r="AD30" s="35" t="n">
        <f aca="false">IF(Y30&gt;=10000,Assumptions!B170,IF(Y30&gt;=5000,Assumptions!B169,IF(Y30&gt;=2000,Assumptions!B168,IF(Y30&gt;=500,Assumptions!B167,0))))</f>
        <v>5</v>
      </c>
    </row>
    <row r="31" customFormat="false" ht="15" hidden="false" customHeight="false" outlineLevel="0" collapsed="false">
      <c r="A31" s="36" t="n">
        <v>26</v>
      </c>
      <c r="B31" s="37" t="n">
        <f aca="false">B30*(1+Assumptions!B34)</f>
        <v>16891.2639944402</v>
      </c>
      <c r="C31" s="38" t="n">
        <f aca="false">ROUND(AB31*Assumptions!B25,0)</f>
        <v>346</v>
      </c>
      <c r="D31" s="38" t="n">
        <f aca="false">ROUND(AB31*Assumptions!B23,0)</f>
        <v>43</v>
      </c>
      <c r="E31" s="38" t="n">
        <f aca="false">E30+D31-F31</f>
        <v>267</v>
      </c>
      <c r="F31" s="38" t="n">
        <f aca="false">ROUND(E30*Assumptions!B44,0)</f>
        <v>14</v>
      </c>
      <c r="G31" s="38" t="n">
        <f aca="false">D31-F31</f>
        <v>29</v>
      </c>
      <c r="H31" s="39" t="n">
        <f aca="false">ROUND(E31*(Assumptions!B15*0.85+Assumptions!B11*0.15),0)</f>
        <v>3064</v>
      </c>
      <c r="I31" s="39" t="n">
        <f aca="false">H31</f>
        <v>3064</v>
      </c>
      <c r="J31" s="38" t="n">
        <f aca="false">ROUND(E31*Assumptions!B68,0)</f>
        <v>935</v>
      </c>
      <c r="K31" s="39" t="n">
        <f aca="false">ROUND(J31*Assumptions!B65,0)</f>
        <v>75</v>
      </c>
      <c r="L31" s="39" t="n">
        <f aca="false">Assumptions!B70+IF(E31&gt;Assumptions!B72,45,0)</f>
        <v>31</v>
      </c>
      <c r="M31" s="39" t="n">
        <f aca="false">Assumptions!B76+Assumptions!B77</f>
        <v>35</v>
      </c>
      <c r="N31" s="39" t="n">
        <f aca="false">Assumptions!B81+Assumptions!B82+Assumptions!B87/12+Assumptions!B148</f>
        <v>116</v>
      </c>
      <c r="O31" s="39" t="n">
        <f aca="false">ROUND(I31*Assumptions!B85+E31*Assumptions!B86+W31*Assumptions!B85+ROUND(AB31*Assumptions!B137*Assumptions!B138*Assumptions!B139,0)*Assumptions!B86,0)</f>
        <v>204</v>
      </c>
      <c r="P31" s="39" t="n">
        <f aca="false">K31+L31+M31+N31+O31+X31</f>
        <v>572</v>
      </c>
      <c r="Q31" s="39" t="n">
        <f aca="false">I31-P31</f>
        <v>2492</v>
      </c>
      <c r="R31" s="39" t="n">
        <f aca="false">ROUND(AB31*Assumptions!B51*Assumptions!B52,0)</f>
        <v>6053</v>
      </c>
      <c r="S31" s="40" t="n">
        <f aca="false">I31+R31+W31+AC31+AD31</f>
        <v>9872</v>
      </c>
      <c r="T31" s="39" t="n">
        <f aca="false">IF(U31&lt;P31*3,0,IF(U31&lt;P31*6,ROUND((Q31+R31+W31+AC31+AD31)*0.75*Assumptions!B113,0),ROUND((Q31+R31+W31+AC31+AD31)*0.75*Assumptions!B114,0)))</f>
        <v>2664</v>
      </c>
      <c r="U31" s="40" t="n">
        <f aca="false">U30+Q31+R31+W31+AC31+AD31</f>
        <v>72073</v>
      </c>
      <c r="V31" s="41" t="str">
        <f aca="false">IF(AB31&gt;=Assumptions!B107,"Signal 6",IF(AB31&gt;=Assumptions!B106,"Signal 5",IF(AB31&gt;=Assumptions!B105,"Signal 4",IF(AB31&gt;=Assumptions!B104,"Signal 3",IF(AB31&gt;=Assumptions!B103,"Signal 2",IF(AB31&gt;=Assumptions!B102,"Signal 1","Pre-Signal 1"))))))</f>
        <v>Signal 1</v>
      </c>
      <c r="W31" s="39" t="n">
        <f aca="false">ROUND(AB31*Assumptions!B137*Assumptions!B138*Assumptions!B139*Assumptions!B136,0)</f>
        <v>674</v>
      </c>
      <c r="X31" s="39" t="n">
        <f aca="false">ROUND(AB31*Assumptions!B137*Assumptions!B65,0)</f>
        <v>111</v>
      </c>
      <c r="Y31" s="32" t="n">
        <f aca="false">ROUND(Y30*(1+Assumptions!B165),0)</f>
        <v>1093</v>
      </c>
      <c r="Z31" s="33" t="n">
        <f aca="false">Assumptions!B158</f>
        <v>400</v>
      </c>
      <c r="AA31" s="32" t="n">
        <f aca="false">ROUND(Y31*Assumptions!B166,0)</f>
        <v>3</v>
      </c>
      <c r="AB31" s="34" t="n">
        <f aca="false">B31+Z31+AA31</f>
        <v>17294.2639944402</v>
      </c>
      <c r="AC31" s="35" t="n">
        <f aca="false">ROUND(IF(A31&gt;=Assumptions!B144,(IF(A31&gt;=25,Assumptions!B151,IF(A31&gt;=16,Assumptions!B150,Assumptions!B149))/1000*Assumptions!B146)+IF(A31&gt;=Assumptions!B145,(IF(A31&gt;=25,Assumptions!B151,IF(A31&gt;=16,Assumptions!B150,Assumptions!B149))*Assumptions!B152/1000*Assumptions!B147),0),0),0)</f>
        <v>76</v>
      </c>
      <c r="AD31" s="35" t="n">
        <f aca="false">IF(Y31&gt;=10000,Assumptions!B170,IF(Y31&gt;=5000,Assumptions!B169,IF(Y31&gt;=2000,Assumptions!B168,IF(Y31&gt;=500,Assumptions!B167,0))))</f>
        <v>5</v>
      </c>
    </row>
    <row r="32" customFormat="false" ht="15" hidden="false" customHeight="false" outlineLevel="0" collapsed="false">
      <c r="A32" s="46" t="n">
        <v>27</v>
      </c>
      <c r="B32" s="47" t="n">
        <f aca="false">B31*(1+Assumptions!B34)</f>
        <v>18918.215673773</v>
      </c>
      <c r="C32" s="48" t="n">
        <f aca="false">ROUND(AB32*Assumptions!B25,0)</f>
        <v>386</v>
      </c>
      <c r="D32" s="48" t="n">
        <f aca="false">ROUND(AB32*Assumptions!B23,0)</f>
        <v>48</v>
      </c>
      <c r="E32" s="48" t="n">
        <f aca="false">E31+D32-F32</f>
        <v>299</v>
      </c>
      <c r="F32" s="48" t="n">
        <f aca="false">ROUND(E31*Assumptions!B44,0)</f>
        <v>16</v>
      </c>
      <c r="G32" s="48" t="n">
        <f aca="false">D32-F32</f>
        <v>32</v>
      </c>
      <c r="H32" s="49" t="n">
        <f aca="false">ROUND(E32*(Assumptions!B15*0.85+Assumptions!B11*0.15),0)</f>
        <v>3431</v>
      </c>
      <c r="I32" s="49" t="n">
        <f aca="false">H32</f>
        <v>3431</v>
      </c>
      <c r="J32" s="48" t="n">
        <f aca="false">ROUND(E32*Assumptions!B68,0)</f>
        <v>1047</v>
      </c>
      <c r="K32" s="49" t="n">
        <f aca="false">ROUND(J32*Assumptions!B65,0)</f>
        <v>84</v>
      </c>
      <c r="L32" s="49" t="n">
        <f aca="false">Assumptions!B70+IF(E32&gt;Assumptions!B72,45,0)</f>
        <v>31</v>
      </c>
      <c r="M32" s="49" t="n">
        <f aca="false">Assumptions!B76+Assumptions!B77</f>
        <v>35</v>
      </c>
      <c r="N32" s="49" t="n">
        <f aca="false">Assumptions!B81+Assumptions!B82+Assumptions!B87/12+Assumptions!B148</f>
        <v>116</v>
      </c>
      <c r="O32" s="49" t="n">
        <f aca="false">ROUND(I32*Assumptions!B85+E32*Assumptions!B86+W32*Assumptions!B85+ROUND(AB32*Assumptions!B137*Assumptions!B138*Assumptions!B139,0)*Assumptions!B86,0)</f>
        <v>228</v>
      </c>
      <c r="P32" s="49" t="n">
        <f aca="false">K32+L32+M32+N32+O32+X32</f>
        <v>618</v>
      </c>
      <c r="Q32" s="49" t="n">
        <f aca="false">I32-P32</f>
        <v>2813</v>
      </c>
      <c r="R32" s="49" t="n">
        <f aca="false">ROUND(AB32*Assumptions!B51*Assumptions!B52,0)</f>
        <v>6763</v>
      </c>
      <c r="S32" s="50" t="n">
        <f aca="false">I32+R32+W32+AC32+AD32</f>
        <v>11029</v>
      </c>
      <c r="T32" s="49" t="n">
        <f aca="false">IF(U32&lt;P32*3,0,IF(U32&lt;P32*6,ROUND((Q32+R32+W32+AC32+AD32)*0.75*Assumptions!B113,0),ROUND((Q32+R32+W32+AC32+AD32)*0.75*Assumptions!B114,0)))</f>
        <v>2983</v>
      </c>
      <c r="U32" s="50" t="n">
        <f aca="false">U31+Q32+R32+W32+AC32+AD32</f>
        <v>82484</v>
      </c>
      <c r="V32" s="51" t="str">
        <f aca="false">IF(AB32&gt;=Assumptions!B107,"Signal 6",IF(AB32&gt;=Assumptions!B106,"Signal 5",IF(AB32&gt;=Assumptions!B105,"Signal 4",IF(AB32&gt;=Assumptions!B104,"Signal 3",IF(AB32&gt;=Assumptions!B103,"Signal 2",IF(AB32&gt;=Assumptions!B102,"Signal 1","Pre-Signal 1"))))))</f>
        <v>Signal 1</v>
      </c>
      <c r="W32" s="49" t="n">
        <f aca="false">ROUND(AB32*Assumptions!B137*Assumptions!B138*Assumptions!B139*Assumptions!B136,0)</f>
        <v>754</v>
      </c>
      <c r="X32" s="49" t="n">
        <f aca="false">ROUND(AB32*Assumptions!B137*Assumptions!B65,0)</f>
        <v>124</v>
      </c>
      <c r="Y32" s="32" t="n">
        <f aca="false">ROUND(Y31*(1+Assumptions!B165),0)</f>
        <v>1202</v>
      </c>
      <c r="Z32" s="33" t="n">
        <f aca="false">Assumptions!B158</f>
        <v>400</v>
      </c>
      <c r="AA32" s="32" t="n">
        <f aca="false">ROUND(Y32*Assumptions!B166,0)</f>
        <v>4</v>
      </c>
      <c r="AB32" s="34" t="n">
        <f aca="false">B32+Z32+AA32</f>
        <v>19322.215673773</v>
      </c>
      <c r="AC32" s="35" t="n">
        <f aca="false">ROUND(IF(A32&gt;=Assumptions!B144,(IF(A32&gt;=25,Assumptions!B151,IF(A32&gt;=16,Assumptions!B150,Assumptions!B149))/1000*Assumptions!B146)+IF(A32&gt;=Assumptions!B145,(IF(A32&gt;=25,Assumptions!B151,IF(A32&gt;=16,Assumptions!B150,Assumptions!B149))*Assumptions!B152/1000*Assumptions!B147),0),0),0)</f>
        <v>76</v>
      </c>
      <c r="AD32" s="35" t="n">
        <f aca="false">IF(Y32&gt;=10000,Assumptions!B170,IF(Y32&gt;=5000,Assumptions!B169,IF(Y32&gt;=2000,Assumptions!B168,IF(Y32&gt;=500,Assumptions!B167,0))))</f>
        <v>5</v>
      </c>
    </row>
    <row r="33" customFormat="false" ht="15" hidden="false" customHeight="false" outlineLevel="0" collapsed="false">
      <c r="A33" s="36" t="n">
        <v>28</v>
      </c>
      <c r="B33" s="37" t="n">
        <f aca="false">B32*(1+Assumptions!B34)</f>
        <v>21188.4015546258</v>
      </c>
      <c r="C33" s="38" t="n">
        <f aca="false">ROUND(AB33*Assumptions!B25,0)</f>
        <v>432</v>
      </c>
      <c r="D33" s="38" t="n">
        <f aca="false">ROUND(AB33*Assumptions!B23,0)</f>
        <v>54</v>
      </c>
      <c r="E33" s="38" t="n">
        <f aca="false">E32+D33-F33</f>
        <v>335</v>
      </c>
      <c r="F33" s="38" t="n">
        <f aca="false">ROUND(E32*Assumptions!B44,0)</f>
        <v>18</v>
      </c>
      <c r="G33" s="38" t="n">
        <f aca="false">D33-F33</f>
        <v>36</v>
      </c>
      <c r="H33" s="39" t="n">
        <f aca="false">ROUND(E33*(Assumptions!B15*0.85+Assumptions!B11*0.15),0)</f>
        <v>3844</v>
      </c>
      <c r="I33" s="39" t="n">
        <f aca="false">H33</f>
        <v>3844</v>
      </c>
      <c r="J33" s="38" t="n">
        <f aca="false">ROUND(E33*Assumptions!B68,0)</f>
        <v>1173</v>
      </c>
      <c r="K33" s="39" t="n">
        <f aca="false">ROUND(J33*Assumptions!B65,0)</f>
        <v>94</v>
      </c>
      <c r="L33" s="39" t="n">
        <f aca="false">Assumptions!B70+IF(E33&gt;Assumptions!B72,45,0)</f>
        <v>31</v>
      </c>
      <c r="M33" s="39" t="n">
        <f aca="false">Assumptions!B76+Assumptions!B77</f>
        <v>35</v>
      </c>
      <c r="N33" s="39" t="n">
        <f aca="false">Assumptions!B81+Assumptions!B82+Assumptions!B87/12+Assumptions!B148</f>
        <v>116</v>
      </c>
      <c r="O33" s="39" t="n">
        <f aca="false">ROUND(I33*Assumptions!B85+E33*Assumptions!B86+W33*Assumptions!B85+ROUND(AB33*Assumptions!B137*Assumptions!B138*Assumptions!B139,0)*Assumptions!B86,0)</f>
        <v>256</v>
      </c>
      <c r="P33" s="39" t="n">
        <f aca="false">K33+L33+M33+N33+O33+X33</f>
        <v>670</v>
      </c>
      <c r="Q33" s="39" t="n">
        <f aca="false">I33-P33</f>
        <v>3174</v>
      </c>
      <c r="R33" s="39" t="n">
        <f aca="false">ROUND(AB33*Assumptions!B51*Assumptions!B52,0)</f>
        <v>7557</v>
      </c>
      <c r="S33" s="40" t="n">
        <f aca="false">I33+R33+W33+AC33+AD33</f>
        <v>12324</v>
      </c>
      <c r="T33" s="39" t="n">
        <f aca="false">IF(U33&lt;P33*3,0,IF(U33&lt;P33*6,ROUND((Q33+R33+W33+AC33+AD33)*0.75*Assumptions!B113,0),ROUND((Q33+R33+W33+AC33+AD33)*0.75*Assumptions!B114,0)))</f>
        <v>3339</v>
      </c>
      <c r="U33" s="40" t="n">
        <f aca="false">U32+Q33+R33+W33+AC33+AD33</f>
        <v>94138</v>
      </c>
      <c r="V33" s="41" t="str">
        <f aca="false">IF(AB33&gt;=Assumptions!B107,"Signal 6",IF(AB33&gt;=Assumptions!B106,"Signal 5",IF(AB33&gt;=Assumptions!B105,"Signal 4",IF(AB33&gt;=Assumptions!B104,"Signal 3",IF(AB33&gt;=Assumptions!B103,"Signal 2",IF(AB33&gt;=Assumptions!B102,"Signal 1","Pre-Signal 1"))))))</f>
        <v>Signal 1</v>
      </c>
      <c r="W33" s="39" t="n">
        <f aca="false">ROUND(AB33*Assumptions!B137*Assumptions!B138*Assumptions!B139*Assumptions!B136,0)</f>
        <v>842</v>
      </c>
      <c r="X33" s="39" t="n">
        <f aca="false">ROUND(AB33*Assumptions!B137*Assumptions!B65,0)</f>
        <v>138</v>
      </c>
      <c r="Y33" s="32" t="n">
        <f aca="false">ROUND(Y32*(1+Assumptions!B165),0)</f>
        <v>1322</v>
      </c>
      <c r="Z33" s="33" t="n">
        <f aca="false">Assumptions!B158</f>
        <v>400</v>
      </c>
      <c r="AA33" s="32" t="n">
        <f aca="false">ROUND(Y33*Assumptions!B166,0)</f>
        <v>4</v>
      </c>
      <c r="AB33" s="34" t="n">
        <f aca="false">B33+Z33+AA33</f>
        <v>21592.4015546258</v>
      </c>
      <c r="AC33" s="35" t="n">
        <f aca="false">ROUND(IF(A33&gt;=Assumptions!B144,(IF(A33&gt;=25,Assumptions!B151,IF(A33&gt;=16,Assumptions!B150,Assumptions!B149))/1000*Assumptions!B146)+IF(A33&gt;=Assumptions!B145,(IF(A33&gt;=25,Assumptions!B151,IF(A33&gt;=16,Assumptions!B150,Assumptions!B149))*Assumptions!B152/1000*Assumptions!B147),0),0),0)</f>
        <v>76</v>
      </c>
      <c r="AD33" s="35" t="n">
        <f aca="false">IF(Y33&gt;=10000,Assumptions!B170,IF(Y33&gt;=5000,Assumptions!B169,IF(Y33&gt;=2000,Assumptions!B168,IF(Y33&gt;=500,Assumptions!B167,0))))</f>
        <v>5</v>
      </c>
    </row>
    <row r="34" customFormat="false" ht="15" hidden="false" customHeight="false" outlineLevel="0" collapsed="false">
      <c r="A34" s="46" t="n">
        <v>29</v>
      </c>
      <c r="B34" s="47" t="n">
        <f aca="false">B33*(1+Assumptions!B34)</f>
        <v>23731.0097411809</v>
      </c>
      <c r="C34" s="48" t="n">
        <f aca="false">ROUND(AB34*Assumptions!B25,0)</f>
        <v>483</v>
      </c>
      <c r="D34" s="48" t="n">
        <f aca="false">ROUND(AB34*Assumptions!B23,0)</f>
        <v>60</v>
      </c>
      <c r="E34" s="48" t="n">
        <f aca="false">E33+D34-F34</f>
        <v>375</v>
      </c>
      <c r="F34" s="48" t="n">
        <f aca="false">ROUND(E33*Assumptions!B44,0)</f>
        <v>20</v>
      </c>
      <c r="G34" s="48" t="n">
        <f aca="false">D34-F34</f>
        <v>40</v>
      </c>
      <c r="H34" s="49" t="n">
        <f aca="false">ROUND(E34*(Assumptions!B15*0.85+Assumptions!B11*0.15),0)</f>
        <v>4303</v>
      </c>
      <c r="I34" s="49" t="n">
        <f aca="false">H34</f>
        <v>4303</v>
      </c>
      <c r="J34" s="48" t="n">
        <f aca="false">ROUND(E34*Assumptions!B68,0)</f>
        <v>1313</v>
      </c>
      <c r="K34" s="49" t="n">
        <f aca="false">ROUND(J34*Assumptions!B65,0)</f>
        <v>105</v>
      </c>
      <c r="L34" s="49" t="n">
        <f aca="false">Assumptions!B70+IF(E34&gt;Assumptions!B72,45,0)</f>
        <v>31</v>
      </c>
      <c r="M34" s="49" t="n">
        <f aca="false">Assumptions!B76+Assumptions!B77</f>
        <v>35</v>
      </c>
      <c r="N34" s="49" t="n">
        <f aca="false">Assumptions!B81+Assumptions!B82+Assumptions!B87/12+Assumptions!B148</f>
        <v>116</v>
      </c>
      <c r="O34" s="49" t="n">
        <f aca="false">ROUND(I34*Assumptions!B85+E34*Assumptions!B86+W34*Assumptions!B85+ROUND(AB34*Assumptions!B137*Assumptions!B138*Assumptions!B139,0)*Assumptions!B86,0)</f>
        <v>286</v>
      </c>
      <c r="P34" s="49" t="n">
        <f aca="false">K34+L34+M34+N34+O34+X34</f>
        <v>727</v>
      </c>
      <c r="Q34" s="49" t="n">
        <f aca="false">I34-P34</f>
        <v>3576</v>
      </c>
      <c r="R34" s="49" t="n">
        <f aca="false">ROUND(AB34*Assumptions!B51*Assumptions!B52,0)</f>
        <v>8447</v>
      </c>
      <c r="S34" s="50" t="n">
        <f aca="false">I34+R34+W34+AC34+AD34</f>
        <v>13772</v>
      </c>
      <c r="T34" s="49" t="n">
        <f aca="false">IF(U34&lt;P34*3,0,IF(U34&lt;P34*6,ROUND((Q34+R34+W34+AC34+AD34)*0.75*Assumptions!B113,0),ROUND((Q34+R34+W34+AC34+AD34)*0.75*Assumptions!B114,0)))</f>
        <v>3737</v>
      </c>
      <c r="U34" s="50" t="n">
        <f aca="false">U33+Q34+R34+W34+AC34+AD34</f>
        <v>107183</v>
      </c>
      <c r="V34" s="51" t="str">
        <f aca="false">IF(AB34&gt;=Assumptions!B107,"Signal 6",IF(AB34&gt;=Assumptions!B106,"Signal 5",IF(AB34&gt;=Assumptions!B105,"Signal 4",IF(AB34&gt;=Assumptions!B104,"Signal 3",IF(AB34&gt;=Assumptions!B103,"Signal 2",IF(AB34&gt;=Assumptions!B102,"Signal 1","Pre-Signal 1"))))))</f>
        <v>Signal 1</v>
      </c>
      <c r="W34" s="49" t="n">
        <f aca="false">ROUND(AB34*Assumptions!B137*Assumptions!B138*Assumptions!B139*Assumptions!B136,0)</f>
        <v>941</v>
      </c>
      <c r="X34" s="49" t="n">
        <f aca="false">ROUND(AB34*Assumptions!B137*Assumptions!B65,0)</f>
        <v>154</v>
      </c>
      <c r="Y34" s="32" t="n">
        <f aca="false">ROUND(Y33*(1+Assumptions!B165),0)</f>
        <v>1454</v>
      </c>
      <c r="Z34" s="33" t="n">
        <f aca="false">Assumptions!B158</f>
        <v>400</v>
      </c>
      <c r="AA34" s="32" t="n">
        <f aca="false">ROUND(Y34*Assumptions!B166,0)</f>
        <v>4</v>
      </c>
      <c r="AB34" s="34" t="n">
        <f aca="false">B34+Z34+AA34</f>
        <v>24135.0097411809</v>
      </c>
      <c r="AC34" s="35" t="n">
        <f aca="false">ROUND(IF(A34&gt;=Assumptions!B144,(IF(A34&gt;=25,Assumptions!B151,IF(A34&gt;=16,Assumptions!B150,Assumptions!B149))/1000*Assumptions!B146)+IF(A34&gt;=Assumptions!B145,(IF(A34&gt;=25,Assumptions!B151,IF(A34&gt;=16,Assumptions!B150,Assumptions!B149))*Assumptions!B152/1000*Assumptions!B147),0),0),0)</f>
        <v>76</v>
      </c>
      <c r="AD34" s="35" t="n">
        <f aca="false">IF(Y34&gt;=10000,Assumptions!B170,IF(Y34&gt;=5000,Assumptions!B169,IF(Y34&gt;=2000,Assumptions!B168,IF(Y34&gt;=500,Assumptions!B167,0))))</f>
        <v>5</v>
      </c>
    </row>
    <row r="35" customFormat="false" ht="15" hidden="false" customHeight="false" outlineLevel="0" collapsed="false">
      <c r="A35" s="36" t="n">
        <v>30</v>
      </c>
      <c r="B35" s="37" t="n">
        <f aca="false">B34*(1+Assumptions!B34)</f>
        <v>26578.7309101226</v>
      </c>
      <c r="C35" s="38" t="n">
        <f aca="false">ROUND(AB35*Assumptions!B25,0)</f>
        <v>540</v>
      </c>
      <c r="D35" s="38" t="n">
        <f aca="false">ROUND(AB35*Assumptions!B23,0)</f>
        <v>67</v>
      </c>
      <c r="E35" s="38" t="n">
        <f aca="false">E34+D35-F35</f>
        <v>419</v>
      </c>
      <c r="F35" s="38" t="n">
        <f aca="false">ROUND(E34*Assumptions!B44,0)</f>
        <v>23</v>
      </c>
      <c r="G35" s="38" t="n">
        <f aca="false">D35-F35</f>
        <v>44</v>
      </c>
      <c r="H35" s="39" t="n">
        <f aca="false">ROUND(E35*(Assumptions!B15*0.85+Assumptions!B11*0.15),0)</f>
        <v>4808</v>
      </c>
      <c r="I35" s="39" t="n">
        <f aca="false">H35</f>
        <v>4808</v>
      </c>
      <c r="J35" s="38" t="n">
        <f aca="false">ROUND(E35*Assumptions!B68,0)</f>
        <v>1467</v>
      </c>
      <c r="K35" s="39" t="n">
        <f aca="false">ROUND(J35*Assumptions!B65,0)</f>
        <v>117</v>
      </c>
      <c r="L35" s="39" t="n">
        <f aca="false">Assumptions!B70+IF(E35&gt;Assumptions!B72,45,0)</f>
        <v>31</v>
      </c>
      <c r="M35" s="39" t="n">
        <f aca="false">Assumptions!B76+Assumptions!B77</f>
        <v>35</v>
      </c>
      <c r="N35" s="39" t="n">
        <f aca="false">Assumptions!B81+Assumptions!B82+Assumptions!B87/12+Assumptions!B148</f>
        <v>116</v>
      </c>
      <c r="O35" s="39" t="n">
        <f aca="false">ROUND(I35*Assumptions!B85+E35*Assumptions!B86+W35*Assumptions!B85+ROUND(AB35*Assumptions!B137*Assumptions!B138*Assumptions!B139,0)*Assumptions!B86,0)</f>
        <v>320</v>
      </c>
      <c r="P35" s="39" t="n">
        <f aca="false">K35+L35+M35+N35+O35+X35</f>
        <v>792</v>
      </c>
      <c r="Q35" s="39" t="n">
        <f aca="false">I35-P35</f>
        <v>4016</v>
      </c>
      <c r="R35" s="39" t="n">
        <f aca="false">ROUND(AB35*Assumptions!B51*Assumptions!B52,0)</f>
        <v>9444</v>
      </c>
      <c r="S35" s="40" t="n">
        <f aca="false">I35+R35+W35+AC35+AD35</f>
        <v>15385</v>
      </c>
      <c r="T35" s="39" t="n">
        <f aca="false">IF(U35&lt;P35*3,0,IF(U35&lt;P35*6,ROUND((Q35+R35+W35+AC35+AD35)*0.75*Assumptions!B113,0),ROUND((Q35+R35+W35+AC35+AD35)*0.75*Assumptions!B114,0)))</f>
        <v>4181</v>
      </c>
      <c r="U35" s="40" t="n">
        <f aca="false">U34+Q35+R35+W35+AC35+AD35</f>
        <v>121776</v>
      </c>
      <c r="V35" s="41" t="str">
        <f aca="false">IF(AB35&gt;=Assumptions!B107,"Signal 6",IF(AB35&gt;=Assumptions!B106,"Signal 5",IF(AB35&gt;=Assumptions!B105,"Signal 4",IF(AB35&gt;=Assumptions!B104,"Signal 3",IF(AB35&gt;=Assumptions!B103,"Signal 2",IF(AB35&gt;=Assumptions!B102,"Signal 1","Pre-Signal 1"))))))</f>
        <v>Signal 2</v>
      </c>
      <c r="W35" s="39" t="n">
        <f aca="false">ROUND(AB35*Assumptions!B137*Assumptions!B138*Assumptions!B139*Assumptions!B136,0)</f>
        <v>1052</v>
      </c>
      <c r="X35" s="39" t="n">
        <f aca="false">ROUND(AB35*Assumptions!B137*Assumptions!B65,0)</f>
        <v>173</v>
      </c>
      <c r="Y35" s="32" t="n">
        <f aca="false">ROUND(Y34*(1+Assumptions!B165),0)</f>
        <v>1599</v>
      </c>
      <c r="Z35" s="33" t="n">
        <f aca="false">Assumptions!B158</f>
        <v>400</v>
      </c>
      <c r="AA35" s="32" t="n">
        <f aca="false">ROUND(Y35*Assumptions!B166,0)</f>
        <v>5</v>
      </c>
      <c r="AB35" s="34" t="n">
        <f aca="false">B35+Z35+AA35</f>
        <v>26983.7309101226</v>
      </c>
      <c r="AC35" s="35" t="n">
        <f aca="false">ROUND(IF(A35&gt;=Assumptions!B144,(IF(A35&gt;=25,Assumptions!B151,IF(A35&gt;=16,Assumptions!B150,Assumptions!B149))/1000*Assumptions!B146)+IF(A35&gt;=Assumptions!B145,(IF(A35&gt;=25,Assumptions!B151,IF(A35&gt;=16,Assumptions!B150,Assumptions!B149))*Assumptions!B152/1000*Assumptions!B147),0),0),0)</f>
        <v>76</v>
      </c>
      <c r="AD35" s="35" t="n">
        <f aca="false">IF(Y35&gt;=10000,Assumptions!B170,IF(Y35&gt;=5000,Assumptions!B169,IF(Y35&gt;=2000,Assumptions!B168,IF(Y35&gt;=500,Assumptions!B167,0))))</f>
        <v>5</v>
      </c>
    </row>
    <row r="36" customFormat="false" ht="15" hidden="false" customHeight="false" outlineLevel="0" collapsed="false">
      <c r="A36" s="46" t="n">
        <v>31</v>
      </c>
      <c r="B36" s="47" t="n">
        <f aca="false">B35*(1+Assumptions!B34)</f>
        <v>29768.1786193373</v>
      </c>
      <c r="C36" s="48" t="n">
        <f aca="false">ROUND(AB36*Assumptions!B25,0)</f>
        <v>603</v>
      </c>
      <c r="D36" s="48" t="n">
        <f aca="false">ROUND(AB36*Assumptions!B23,0)</f>
        <v>75</v>
      </c>
      <c r="E36" s="48" t="n">
        <f aca="false">E35+D36-F36</f>
        <v>469</v>
      </c>
      <c r="F36" s="48" t="n">
        <f aca="false">ROUND(E35*Assumptions!B44,0)</f>
        <v>25</v>
      </c>
      <c r="G36" s="48" t="n">
        <f aca="false">D36-F36</f>
        <v>50</v>
      </c>
      <c r="H36" s="49" t="n">
        <f aca="false">ROUND(E36*(Assumptions!B15*0.85+Assumptions!B11*0.15),0)</f>
        <v>5382</v>
      </c>
      <c r="I36" s="49" t="n">
        <f aca="false">H36</f>
        <v>5382</v>
      </c>
      <c r="J36" s="48" t="n">
        <f aca="false">ROUND(E36*Assumptions!B68,0)</f>
        <v>1642</v>
      </c>
      <c r="K36" s="49" t="n">
        <f aca="false">ROUND(J36*Assumptions!B65,0)</f>
        <v>131</v>
      </c>
      <c r="L36" s="49" t="n">
        <f aca="false">Assumptions!B70+IF(E36&gt;Assumptions!B72,45,0)</f>
        <v>31</v>
      </c>
      <c r="M36" s="49" t="n">
        <f aca="false">Assumptions!B76+Assumptions!B77</f>
        <v>35</v>
      </c>
      <c r="N36" s="49" t="n">
        <f aca="false">Assumptions!B81+Assumptions!B82+Assumptions!B87/12+Assumptions!B148</f>
        <v>116</v>
      </c>
      <c r="O36" s="49" t="n">
        <f aca="false">ROUND(I36*Assumptions!B85+E36*Assumptions!B86+W36*Assumptions!B85+ROUND(AB36*Assumptions!B137*Assumptions!B138*Assumptions!B139,0)*Assumptions!B86,0)</f>
        <v>358</v>
      </c>
      <c r="P36" s="49" t="n">
        <f aca="false">K36+L36+M36+N36+O36+X36</f>
        <v>864</v>
      </c>
      <c r="Q36" s="49" t="n">
        <f aca="false">I36-P36</f>
        <v>4518</v>
      </c>
      <c r="R36" s="49" t="n">
        <f aca="false">ROUND(AB36*Assumptions!B51*Assumptions!B52,0)</f>
        <v>10561</v>
      </c>
      <c r="S36" s="50" t="n">
        <f aca="false">I36+R36+W36+AC36+AD36</f>
        <v>17201</v>
      </c>
      <c r="T36" s="49" t="n">
        <f aca="false">IF(U36&lt;P36*3,0,IF(U36&lt;P36*6,ROUND((Q36+R36+W36+AC36+AD36)*0.75*Assumptions!B113,0),ROUND((Q36+R36+W36+AC36+AD36)*0.75*Assumptions!B114,0)))</f>
        <v>4681</v>
      </c>
      <c r="U36" s="50" t="n">
        <f aca="false">U35+Q36+R36+W36+AC36+AD36</f>
        <v>138113</v>
      </c>
      <c r="V36" s="51" t="str">
        <f aca="false">IF(AB36&gt;=Assumptions!B107,"Signal 6",IF(AB36&gt;=Assumptions!B106,"Signal 5",IF(AB36&gt;=Assumptions!B105,"Signal 4",IF(AB36&gt;=Assumptions!B104,"Signal 3",IF(AB36&gt;=Assumptions!B103,"Signal 2",IF(AB36&gt;=Assumptions!B102,"Signal 1","Pre-Signal 1"))))))</f>
        <v>Signal 2</v>
      </c>
      <c r="W36" s="49" t="n">
        <f aca="false">ROUND(AB36*Assumptions!B137*Assumptions!B138*Assumptions!B139*Assumptions!B136,0)</f>
        <v>1177</v>
      </c>
      <c r="X36" s="49" t="n">
        <f aca="false">ROUND(AB36*Assumptions!B137*Assumptions!B65,0)</f>
        <v>193</v>
      </c>
      <c r="Y36" s="32" t="n">
        <f aca="false">ROUND(Y35*(1+Assumptions!B165),0)</f>
        <v>1759</v>
      </c>
      <c r="Z36" s="33" t="n">
        <f aca="false">Assumptions!B158</f>
        <v>400</v>
      </c>
      <c r="AA36" s="32" t="n">
        <f aca="false">ROUND(Y36*Assumptions!B166,0)</f>
        <v>5</v>
      </c>
      <c r="AB36" s="34" t="n">
        <f aca="false">B36+Z36+AA36</f>
        <v>30173.1786193373</v>
      </c>
      <c r="AC36" s="35" t="n">
        <f aca="false">ROUND(IF(A36&gt;=Assumptions!B144,(IF(A36&gt;=25,Assumptions!B151,IF(A36&gt;=16,Assumptions!B150,Assumptions!B149))/1000*Assumptions!B146)+IF(A36&gt;=Assumptions!B145,(IF(A36&gt;=25,Assumptions!B151,IF(A36&gt;=16,Assumptions!B150,Assumptions!B149))*Assumptions!B152/1000*Assumptions!B147),0),0),0)</f>
        <v>76</v>
      </c>
      <c r="AD36" s="35" t="n">
        <f aca="false">IF(Y36&gt;=10000,Assumptions!B170,IF(Y36&gt;=5000,Assumptions!B169,IF(Y36&gt;=2000,Assumptions!B168,IF(Y36&gt;=500,Assumptions!B167,0))))</f>
        <v>5</v>
      </c>
    </row>
    <row r="37" customFormat="false" ht="15" hidden="false" customHeight="false" outlineLevel="0" collapsed="false">
      <c r="A37" s="36" t="n">
        <v>32</v>
      </c>
      <c r="B37" s="37" t="n">
        <f aca="false">B36*(1+Assumptions!B34)</f>
        <v>33340.3600536578</v>
      </c>
      <c r="C37" s="38" t="n">
        <f aca="false">ROUND(AB37*Assumptions!B25,0)</f>
        <v>675</v>
      </c>
      <c r="D37" s="38" t="n">
        <f aca="false">ROUND(AB37*Assumptions!B23,0)</f>
        <v>84</v>
      </c>
      <c r="E37" s="38" t="n">
        <f aca="false">E36+D37-F37</f>
        <v>525</v>
      </c>
      <c r="F37" s="38" t="n">
        <f aca="false">ROUND(E36*Assumptions!B44,0)</f>
        <v>28</v>
      </c>
      <c r="G37" s="38" t="n">
        <f aca="false">D37-F37</f>
        <v>56</v>
      </c>
      <c r="H37" s="39" t="n">
        <f aca="false">ROUND(E37*(Assumptions!B15*0.85+Assumptions!B11*0.15),0)</f>
        <v>6024</v>
      </c>
      <c r="I37" s="39" t="n">
        <f aca="false">H37</f>
        <v>6024</v>
      </c>
      <c r="J37" s="38" t="n">
        <f aca="false">ROUND(E37*Assumptions!B68,0)</f>
        <v>1838</v>
      </c>
      <c r="K37" s="39" t="n">
        <f aca="false">ROUND(J37*Assumptions!B65,0)</f>
        <v>147</v>
      </c>
      <c r="L37" s="39" t="n">
        <f aca="false">Assumptions!B70+IF(E37&gt;Assumptions!B72,45,0)</f>
        <v>76</v>
      </c>
      <c r="M37" s="39" t="n">
        <f aca="false">Assumptions!B76+Assumptions!B77</f>
        <v>35</v>
      </c>
      <c r="N37" s="39" t="n">
        <f aca="false">Assumptions!B81+Assumptions!B82+Assumptions!B87/12+Assumptions!B148</f>
        <v>116</v>
      </c>
      <c r="O37" s="39" t="n">
        <f aca="false">ROUND(I37*Assumptions!B85+E37*Assumptions!B86+W37*Assumptions!B85+ROUND(AB37*Assumptions!B137*Assumptions!B138*Assumptions!B139,0)*Assumptions!B86,0)</f>
        <v>401</v>
      </c>
      <c r="P37" s="39" t="n">
        <f aca="false">K37+L37+M37+N37+O37+X37</f>
        <v>991</v>
      </c>
      <c r="Q37" s="39" t="n">
        <f aca="false">I37-P37</f>
        <v>5033</v>
      </c>
      <c r="R37" s="39" t="n">
        <f aca="false">ROUND(AB37*Assumptions!B51*Assumptions!B52,0)</f>
        <v>11811</v>
      </c>
      <c r="S37" s="40" t="n">
        <f aca="false">I37+R37+W37+AC37+AD37</f>
        <v>19232</v>
      </c>
      <c r="T37" s="39" t="n">
        <f aca="false">IF(U37&lt;P37*3,0,IF(U37&lt;P37*6,ROUND((Q37+R37+W37+AC37+AD37)*0.75*Assumptions!B113,0),ROUND((Q37+R37+W37+AC37+AD37)*0.75*Assumptions!B114,0)))</f>
        <v>5226</v>
      </c>
      <c r="U37" s="40" t="n">
        <f aca="false">U36+Q37+R37+W37+AC37+AD37</f>
        <v>156354</v>
      </c>
      <c r="V37" s="41" t="str">
        <f aca="false">IF(AB37&gt;=Assumptions!B107,"Signal 6",IF(AB37&gt;=Assumptions!B106,"Signal 5",IF(AB37&gt;=Assumptions!B105,"Signal 4",IF(AB37&gt;=Assumptions!B104,"Signal 3",IF(AB37&gt;=Assumptions!B103,"Signal 2",IF(AB37&gt;=Assumptions!B102,"Signal 1","Pre-Signal 1"))))))</f>
        <v>Signal 2</v>
      </c>
      <c r="W37" s="39" t="n">
        <f aca="false">ROUND(AB37*Assumptions!B137*Assumptions!B138*Assumptions!B139*Assumptions!B136,0)</f>
        <v>1316</v>
      </c>
      <c r="X37" s="39" t="n">
        <f aca="false">ROUND(AB37*Assumptions!B137*Assumptions!B65,0)</f>
        <v>216</v>
      </c>
      <c r="Y37" s="32" t="n">
        <f aca="false">ROUND(Y36*(1+Assumptions!B165),0)</f>
        <v>1935</v>
      </c>
      <c r="Z37" s="33" t="n">
        <f aca="false">Assumptions!B158</f>
        <v>400</v>
      </c>
      <c r="AA37" s="32" t="n">
        <f aca="false">ROUND(Y37*Assumptions!B166,0)</f>
        <v>6</v>
      </c>
      <c r="AB37" s="34" t="n">
        <f aca="false">B37+Z37+AA37</f>
        <v>33746.3600536578</v>
      </c>
      <c r="AC37" s="35" t="n">
        <f aca="false">ROUND(IF(A37&gt;=Assumptions!B144,(IF(A37&gt;=25,Assumptions!B151,IF(A37&gt;=16,Assumptions!B150,Assumptions!B149))/1000*Assumptions!B146)+IF(A37&gt;=Assumptions!B145,(IF(A37&gt;=25,Assumptions!B151,IF(A37&gt;=16,Assumptions!B150,Assumptions!B149))*Assumptions!B152/1000*Assumptions!B147),0),0),0)</f>
        <v>76</v>
      </c>
      <c r="AD37" s="35" t="n">
        <f aca="false">IF(Y37&gt;=10000,Assumptions!B170,IF(Y37&gt;=5000,Assumptions!B169,IF(Y37&gt;=2000,Assumptions!B168,IF(Y37&gt;=500,Assumptions!B167,0))))</f>
        <v>5</v>
      </c>
    </row>
    <row r="38" customFormat="false" ht="15" hidden="false" customHeight="false" outlineLevel="0" collapsed="false">
      <c r="A38" s="46" t="n">
        <v>33</v>
      </c>
      <c r="B38" s="47" t="n">
        <f aca="false">B37*(1+Assumptions!B34)</f>
        <v>37341.2032600968</v>
      </c>
      <c r="C38" s="48" t="n">
        <f aca="false">ROUND(AB38*Assumptions!B25,0)</f>
        <v>755</v>
      </c>
      <c r="D38" s="48" t="n">
        <f aca="false">ROUND(AB38*Assumptions!B23,0)</f>
        <v>94</v>
      </c>
      <c r="E38" s="48" t="n">
        <f aca="false">E37+D38-F38</f>
        <v>587</v>
      </c>
      <c r="F38" s="48" t="n">
        <f aca="false">ROUND(E37*Assumptions!B44,0)</f>
        <v>32</v>
      </c>
      <c r="G38" s="48" t="n">
        <f aca="false">D38-F38</f>
        <v>62</v>
      </c>
      <c r="H38" s="49" t="n">
        <f aca="false">ROUND(E38*(Assumptions!B15*0.85+Assumptions!B11*0.15),0)</f>
        <v>6736</v>
      </c>
      <c r="I38" s="49" t="n">
        <f aca="false">H38</f>
        <v>6736</v>
      </c>
      <c r="J38" s="48" t="n">
        <f aca="false">ROUND(E38*Assumptions!B68,0)</f>
        <v>2055</v>
      </c>
      <c r="K38" s="49" t="n">
        <f aca="false">ROUND(J38*Assumptions!B65,0)</f>
        <v>164</v>
      </c>
      <c r="L38" s="49" t="n">
        <f aca="false">Assumptions!B70+IF(E38&gt;Assumptions!B72,45,0)</f>
        <v>76</v>
      </c>
      <c r="M38" s="49" t="n">
        <f aca="false">Assumptions!B76+Assumptions!B77</f>
        <v>35</v>
      </c>
      <c r="N38" s="49" t="n">
        <f aca="false">Assumptions!B81+Assumptions!B82+Assumptions!B87/12+Assumptions!B148</f>
        <v>116</v>
      </c>
      <c r="O38" s="49" t="n">
        <f aca="false">ROUND(I38*Assumptions!B85+E38*Assumptions!B86+W38*Assumptions!B85+ROUND(AB38*Assumptions!B137*Assumptions!B138*Assumptions!B139,0)*Assumptions!B86,0)</f>
        <v>448</v>
      </c>
      <c r="P38" s="49" t="n">
        <f aca="false">K38+L38+M38+N38+O38+X38</f>
        <v>1081</v>
      </c>
      <c r="Q38" s="49" t="n">
        <f aca="false">I38-P38</f>
        <v>5655</v>
      </c>
      <c r="R38" s="49" t="n">
        <f aca="false">ROUND(AB38*Assumptions!B51*Assumptions!B52,0)</f>
        <v>13212</v>
      </c>
      <c r="S38" s="50" t="n">
        <f aca="false">I38+R38+W38+AC38+AD38</f>
        <v>21516</v>
      </c>
      <c r="T38" s="49" t="n">
        <f aca="false">IF(U38&lt;P38*3,0,IF(U38&lt;P38*6,ROUND((Q38+R38+W38+AC38+AD38)*0.75*Assumptions!B113,0),ROUND((Q38+R38+W38+AC38+AD38)*0.75*Assumptions!B114,0)))</f>
        <v>5855</v>
      </c>
      <c r="U38" s="50" t="n">
        <f aca="false">U37+Q38+R38+W38+AC38+AD38</f>
        <v>176789</v>
      </c>
      <c r="V38" s="51" t="str">
        <f aca="false">IF(AB38&gt;=Assumptions!B107,"Signal 6",IF(AB38&gt;=Assumptions!B106,"Signal 5",IF(AB38&gt;=Assumptions!B105,"Signal 4",IF(AB38&gt;=Assumptions!B104,"Signal 3",IF(AB38&gt;=Assumptions!B103,"Signal 2",IF(AB38&gt;=Assumptions!B102,"Signal 1","Pre-Signal 1"))))))</f>
        <v>Signal 2</v>
      </c>
      <c r="W38" s="49" t="n">
        <f aca="false">ROUND(AB38*Assumptions!B137*Assumptions!B138*Assumptions!B139*Assumptions!B136,0)</f>
        <v>1472</v>
      </c>
      <c r="X38" s="49" t="n">
        <f aca="false">ROUND(AB38*Assumptions!B137*Assumptions!B65,0)</f>
        <v>242</v>
      </c>
      <c r="Y38" s="32" t="n">
        <f aca="false">ROUND(Y37*(1+Assumptions!B165),0)</f>
        <v>2129</v>
      </c>
      <c r="Z38" s="33" t="n">
        <f aca="false">Assumptions!B158</f>
        <v>400</v>
      </c>
      <c r="AA38" s="32" t="n">
        <f aca="false">ROUND(Y38*Assumptions!B166,0)</f>
        <v>6</v>
      </c>
      <c r="AB38" s="34" t="n">
        <f aca="false">B38+Z38+AA38</f>
        <v>37747.2032600968</v>
      </c>
      <c r="AC38" s="35" t="n">
        <f aca="false">ROUND(IF(A38&gt;=Assumptions!B144,(IF(A38&gt;=25,Assumptions!B151,IF(A38&gt;=16,Assumptions!B150,Assumptions!B149))/1000*Assumptions!B146)+IF(A38&gt;=Assumptions!B145,(IF(A38&gt;=25,Assumptions!B151,IF(A38&gt;=16,Assumptions!B150,Assumptions!B149))*Assumptions!B152/1000*Assumptions!B147),0),0),0)</f>
        <v>76</v>
      </c>
      <c r="AD38" s="35" t="n">
        <f aca="false">IF(Y38&gt;=10000,Assumptions!B170,IF(Y38&gt;=5000,Assumptions!B169,IF(Y38&gt;=2000,Assumptions!B168,IF(Y38&gt;=500,Assumptions!B167,0))))</f>
        <v>20</v>
      </c>
    </row>
    <row r="39" customFormat="false" ht="15" hidden="false" customHeight="false" outlineLevel="0" collapsed="false">
      <c r="A39" s="36" t="n">
        <v>34</v>
      </c>
      <c r="B39" s="37" t="n">
        <f aca="false">B38*(1+Assumptions!B34)</f>
        <v>41822.1476513084</v>
      </c>
      <c r="C39" s="38" t="n">
        <f aca="false">ROUND(AB39*Assumptions!B25,0)</f>
        <v>845</v>
      </c>
      <c r="D39" s="38" t="n">
        <f aca="false">ROUND(AB39*Assumptions!B23,0)</f>
        <v>106</v>
      </c>
      <c r="E39" s="38" t="n">
        <f aca="false">E38+D39-F39</f>
        <v>658</v>
      </c>
      <c r="F39" s="38" t="n">
        <f aca="false">ROUND(E38*Assumptions!B44,0)</f>
        <v>35</v>
      </c>
      <c r="G39" s="38" t="n">
        <f aca="false">D39-F39</f>
        <v>71</v>
      </c>
      <c r="H39" s="39" t="n">
        <f aca="false">ROUND(E39*(Assumptions!B15*0.85+Assumptions!B11*0.15),0)</f>
        <v>7551</v>
      </c>
      <c r="I39" s="39" t="n">
        <f aca="false">H39</f>
        <v>7551</v>
      </c>
      <c r="J39" s="38" t="n">
        <f aca="false">ROUND(E39*Assumptions!B68,0)</f>
        <v>2303</v>
      </c>
      <c r="K39" s="39" t="n">
        <f aca="false">ROUND(J39*Assumptions!B65,0)</f>
        <v>184</v>
      </c>
      <c r="L39" s="39" t="n">
        <f aca="false">Assumptions!B70+IF(E39&gt;Assumptions!B72,45,0)</f>
        <v>76</v>
      </c>
      <c r="M39" s="39" t="n">
        <f aca="false">Assumptions!B76+Assumptions!B77</f>
        <v>35</v>
      </c>
      <c r="N39" s="39" t="n">
        <f aca="false">Assumptions!B81+Assumptions!B82+Assumptions!B87/12+Assumptions!B148</f>
        <v>116</v>
      </c>
      <c r="O39" s="39" t="n">
        <f aca="false">ROUND(I39*Assumptions!B85+E39*Assumptions!B86+W39*Assumptions!B85+ROUND(AB39*Assumptions!B137*Assumptions!B138*Assumptions!B139,0)*Assumptions!B86,0)</f>
        <v>502</v>
      </c>
      <c r="P39" s="39" t="n">
        <f aca="false">K39+L39+M39+N39+O39+X39</f>
        <v>1183</v>
      </c>
      <c r="Q39" s="39" t="n">
        <f aca="false">I39-P39</f>
        <v>6368</v>
      </c>
      <c r="R39" s="39" t="n">
        <f aca="false">ROUND(AB39*Assumptions!B51*Assumptions!B52,0)</f>
        <v>14780</v>
      </c>
      <c r="S39" s="40" t="n">
        <f aca="false">I39+R39+W39+AC39+AD39</f>
        <v>24074</v>
      </c>
      <c r="T39" s="39" t="n">
        <f aca="false">IF(U39&lt;P39*3,0,IF(U39&lt;P39*6,ROUND((Q39+R39+W39+AC39+AD39)*0.75*Assumptions!B113,0),ROUND((Q39+R39+W39+AC39+AD39)*0.75*Assumptions!B114,0)))</f>
        <v>6558</v>
      </c>
      <c r="U39" s="40" t="n">
        <f aca="false">U38+Q39+R39+W39+AC39+AD39</f>
        <v>199680</v>
      </c>
      <c r="V39" s="41" t="str">
        <f aca="false">IF(AB39&gt;=Assumptions!B107,"Signal 6",IF(AB39&gt;=Assumptions!B106,"Signal 5",IF(AB39&gt;=Assumptions!B105,"Signal 4",IF(AB39&gt;=Assumptions!B104,"Signal 3",IF(AB39&gt;=Assumptions!B103,"Signal 2",IF(AB39&gt;=Assumptions!B102,"Signal 1","Pre-Signal 1"))))))</f>
        <v>Signal 3</v>
      </c>
      <c r="W39" s="39" t="n">
        <f aca="false">ROUND(AB39*Assumptions!B137*Assumptions!B138*Assumptions!B139*Assumptions!B136,0)</f>
        <v>1647</v>
      </c>
      <c r="X39" s="39" t="n">
        <f aca="false">ROUND(AB39*Assumptions!B137*Assumptions!B65,0)</f>
        <v>270</v>
      </c>
      <c r="Y39" s="32" t="n">
        <f aca="false">ROUND(Y38*(1+Assumptions!B165),0)</f>
        <v>2342</v>
      </c>
      <c r="Z39" s="33" t="n">
        <f aca="false">Assumptions!B158</f>
        <v>400</v>
      </c>
      <c r="AA39" s="32" t="n">
        <f aca="false">ROUND(Y39*Assumptions!B166,0)</f>
        <v>7</v>
      </c>
      <c r="AB39" s="34" t="n">
        <f aca="false">B39+Z39+AA39</f>
        <v>42229.1476513084</v>
      </c>
      <c r="AC39" s="35" t="n">
        <f aca="false">ROUND(IF(A39&gt;=Assumptions!B144,(IF(A39&gt;=25,Assumptions!B151,IF(A39&gt;=16,Assumptions!B150,Assumptions!B149))/1000*Assumptions!B146)+IF(A39&gt;=Assumptions!B145,(IF(A39&gt;=25,Assumptions!B151,IF(A39&gt;=16,Assumptions!B150,Assumptions!B149))*Assumptions!B152/1000*Assumptions!B147),0),0),0)</f>
        <v>76</v>
      </c>
      <c r="AD39" s="35" t="n">
        <f aca="false">IF(Y39&gt;=10000,Assumptions!B170,IF(Y39&gt;=5000,Assumptions!B169,IF(Y39&gt;=2000,Assumptions!B168,IF(Y39&gt;=500,Assumptions!B167,0))))</f>
        <v>20</v>
      </c>
    </row>
    <row r="40" customFormat="false" ht="15" hidden="false" customHeight="false" outlineLevel="0" collapsed="false">
      <c r="A40" s="46" t="n">
        <v>35</v>
      </c>
      <c r="B40" s="47" t="n">
        <f aca="false">B39*(1+Assumptions!B34)</f>
        <v>46840.8053694654</v>
      </c>
      <c r="C40" s="48" t="n">
        <f aca="false">ROUND(AB40*Assumptions!B25,0)</f>
        <v>945</v>
      </c>
      <c r="D40" s="48" t="n">
        <f aca="false">ROUND(AB40*Assumptions!B23,0)</f>
        <v>118</v>
      </c>
      <c r="E40" s="48" t="n">
        <f aca="false">E39+D40-F40</f>
        <v>737</v>
      </c>
      <c r="F40" s="48" t="n">
        <f aca="false">ROUND(E39*Assumptions!B44,0)</f>
        <v>39</v>
      </c>
      <c r="G40" s="48" t="n">
        <f aca="false">D40-F40</f>
        <v>79</v>
      </c>
      <c r="H40" s="49" t="n">
        <f aca="false">ROUND(E40*(Assumptions!B15*0.85+Assumptions!B11*0.15),0)</f>
        <v>8457</v>
      </c>
      <c r="I40" s="49" t="n">
        <f aca="false">H40</f>
        <v>8457</v>
      </c>
      <c r="J40" s="48" t="n">
        <f aca="false">ROUND(E40*Assumptions!B68,0)</f>
        <v>2580</v>
      </c>
      <c r="K40" s="49" t="n">
        <f aca="false">ROUND(J40*Assumptions!B65,0)</f>
        <v>206</v>
      </c>
      <c r="L40" s="49" t="n">
        <f aca="false">Assumptions!B70+IF(E40&gt;Assumptions!B72,45,0)</f>
        <v>76</v>
      </c>
      <c r="M40" s="49" t="n">
        <f aca="false">Assumptions!B76+Assumptions!B77</f>
        <v>35</v>
      </c>
      <c r="N40" s="49" t="n">
        <f aca="false">Assumptions!B81+Assumptions!B82+Assumptions!B87/12+Assumptions!B148</f>
        <v>116</v>
      </c>
      <c r="O40" s="49" t="n">
        <f aca="false">ROUND(I40*Assumptions!B85+E40*Assumptions!B86+W40*Assumptions!B85+ROUND(AB40*Assumptions!B137*Assumptions!B138*Assumptions!B139,0)*Assumptions!B86,0)</f>
        <v>562</v>
      </c>
      <c r="P40" s="49" t="n">
        <f aca="false">K40+L40+M40+N40+O40+X40</f>
        <v>1297</v>
      </c>
      <c r="Q40" s="49" t="n">
        <f aca="false">I40-P40</f>
        <v>7160</v>
      </c>
      <c r="R40" s="49" t="n">
        <f aca="false">ROUND(AB40*Assumptions!B51*Assumptions!B52,0)</f>
        <v>16537</v>
      </c>
      <c r="S40" s="50" t="n">
        <f aca="false">I40+R40+W40+AC40+AD40</f>
        <v>26933</v>
      </c>
      <c r="T40" s="49" t="n">
        <f aca="false">IF(U40&lt;P40*3,0,IF(U40&lt;P40*6,ROUND((Q40+R40+W40+AC40+AD40)*0.75*Assumptions!B113,0),ROUND((Q40+R40+W40+AC40+AD40)*0.75*Assumptions!B114,0)))</f>
        <v>7345</v>
      </c>
      <c r="U40" s="50" t="n">
        <f aca="false">U39+Q40+R40+W40+AC40+AD40</f>
        <v>225316</v>
      </c>
      <c r="V40" s="51" t="str">
        <f aca="false">IF(AB40&gt;=Assumptions!B107,"Signal 6",IF(AB40&gt;=Assumptions!B106,"Signal 5",IF(AB40&gt;=Assumptions!B105,"Signal 4",IF(AB40&gt;=Assumptions!B104,"Signal 3",IF(AB40&gt;=Assumptions!B103,"Signal 2",IF(AB40&gt;=Assumptions!B102,"Signal 1","Pre-Signal 1"))))))</f>
        <v>Signal 3</v>
      </c>
      <c r="W40" s="49" t="n">
        <f aca="false">ROUND(AB40*Assumptions!B137*Assumptions!B138*Assumptions!B139*Assumptions!B136,0)</f>
        <v>1843</v>
      </c>
      <c r="X40" s="49" t="n">
        <f aca="false">ROUND(AB40*Assumptions!B137*Assumptions!B65,0)</f>
        <v>302</v>
      </c>
      <c r="Y40" s="32" t="n">
        <f aca="false">ROUND(Y39*(1+Assumptions!B165),0)</f>
        <v>2576</v>
      </c>
      <c r="Z40" s="33" t="n">
        <f aca="false">Assumptions!B158</f>
        <v>400</v>
      </c>
      <c r="AA40" s="32" t="n">
        <f aca="false">ROUND(Y40*Assumptions!B166,0)</f>
        <v>8</v>
      </c>
      <c r="AB40" s="34" t="n">
        <f aca="false">B40+Z40+AA40</f>
        <v>47248.8053694654</v>
      </c>
      <c r="AC40" s="35" t="n">
        <f aca="false">ROUND(IF(A40&gt;=Assumptions!B144,(IF(A40&gt;=25,Assumptions!B151,IF(A40&gt;=16,Assumptions!B150,Assumptions!B149))/1000*Assumptions!B146)+IF(A40&gt;=Assumptions!B145,(IF(A40&gt;=25,Assumptions!B151,IF(A40&gt;=16,Assumptions!B150,Assumptions!B149))*Assumptions!B152/1000*Assumptions!B147),0),0),0)</f>
        <v>76</v>
      </c>
      <c r="AD40" s="35" t="n">
        <f aca="false">IF(Y40&gt;=10000,Assumptions!B170,IF(Y40&gt;=5000,Assumptions!B169,IF(Y40&gt;=2000,Assumptions!B168,IF(Y40&gt;=500,Assumptions!B167,0))))</f>
        <v>20</v>
      </c>
    </row>
    <row r="41" customFormat="false" ht="15" hidden="false" customHeight="false" outlineLevel="0" collapsed="false">
      <c r="A41" s="36" t="n">
        <v>36</v>
      </c>
      <c r="B41" s="37" t="n">
        <f aca="false">B40*(1+Assumptions!B34)</f>
        <v>52461.7020138012</v>
      </c>
      <c r="C41" s="38" t="n">
        <f aca="false">ROUND(AB41*Assumptions!B25,0)</f>
        <v>1057</v>
      </c>
      <c r="D41" s="38" t="n">
        <f aca="false">ROUND(AB41*Assumptions!B23,0)</f>
        <v>132</v>
      </c>
      <c r="E41" s="38" t="n">
        <f aca="false">E40+D41-F41</f>
        <v>825</v>
      </c>
      <c r="F41" s="38" t="n">
        <f aca="false">ROUND(E40*Assumptions!B44,0)</f>
        <v>44</v>
      </c>
      <c r="G41" s="38" t="n">
        <f aca="false">D41-F41</f>
        <v>88</v>
      </c>
      <c r="H41" s="39" t="n">
        <f aca="false">ROUND(E41*(Assumptions!B15*0.85+Assumptions!B11*0.15),0)</f>
        <v>9467</v>
      </c>
      <c r="I41" s="39" t="n">
        <f aca="false">H41</f>
        <v>9467</v>
      </c>
      <c r="J41" s="38" t="n">
        <f aca="false">ROUND(E41*Assumptions!B68,0)</f>
        <v>2888</v>
      </c>
      <c r="K41" s="39" t="n">
        <f aca="false">ROUND(J41*Assumptions!B65,0)</f>
        <v>231</v>
      </c>
      <c r="L41" s="39" t="n">
        <f aca="false">Assumptions!B70+IF(E41&gt;Assumptions!B72,45,0)</f>
        <v>76</v>
      </c>
      <c r="M41" s="39" t="n">
        <f aca="false">Assumptions!B76+Assumptions!B77</f>
        <v>35</v>
      </c>
      <c r="N41" s="39" t="n">
        <f aca="false">Assumptions!B81+Assumptions!B82+Assumptions!B87/12+Assumptions!B148</f>
        <v>116</v>
      </c>
      <c r="O41" s="39" t="n">
        <f aca="false">ROUND(I41*Assumptions!B85+E41*Assumptions!B86+W41*Assumptions!B85+ROUND(AB41*Assumptions!B137*Assumptions!B138*Assumptions!B139,0)*Assumptions!B86,0)</f>
        <v>630</v>
      </c>
      <c r="P41" s="39" t="n">
        <f aca="false">K41+L41+M41+N41+O41+X41</f>
        <v>1426</v>
      </c>
      <c r="Q41" s="39" t="n">
        <f aca="false">I41-P41</f>
        <v>8041</v>
      </c>
      <c r="R41" s="39" t="n">
        <f aca="false">ROUND(AB41*Assumptions!B51*Assumptions!B52,0)</f>
        <v>18505</v>
      </c>
      <c r="S41" s="40" t="n">
        <f aca="false">I41+R41+W41+AC41+AD41</f>
        <v>30130</v>
      </c>
      <c r="T41" s="39" t="n">
        <f aca="false">IF(U41&lt;P41*3,0,IF(U41&lt;P41*6,ROUND((Q41+R41+W41+AC41+AD41)*0.75*Assumptions!B113,0),ROUND((Q41+R41+W41+AC41+AD41)*0.75*Assumptions!B114,0)))</f>
        <v>8224</v>
      </c>
      <c r="U41" s="40" t="n">
        <f aca="false">U40+Q41+R41+W41+AC41+AD41</f>
        <v>254020</v>
      </c>
      <c r="V41" s="41" t="str">
        <f aca="false">IF(AB41&gt;=Assumptions!B107,"Signal 6",IF(AB41&gt;=Assumptions!B106,"Signal 5",IF(AB41&gt;=Assumptions!B105,"Signal 4",IF(AB41&gt;=Assumptions!B104,"Signal 3",IF(AB41&gt;=Assumptions!B103,"Signal 2",IF(AB41&gt;=Assumptions!B102,"Signal 1","Pre-Signal 1"))))))</f>
        <v>Signal 3</v>
      </c>
      <c r="W41" s="39" t="n">
        <f aca="false">ROUND(AB41*Assumptions!B137*Assumptions!B138*Assumptions!B139*Assumptions!B136,0)</f>
        <v>2062</v>
      </c>
      <c r="X41" s="39" t="n">
        <f aca="false">ROUND(AB41*Assumptions!B137*Assumptions!B65,0)</f>
        <v>338</v>
      </c>
      <c r="Y41" s="32" t="n">
        <f aca="false">ROUND(Y40*(1+Assumptions!B165),0)</f>
        <v>2834</v>
      </c>
      <c r="Z41" s="33" t="n">
        <f aca="false">Assumptions!B158</f>
        <v>400</v>
      </c>
      <c r="AA41" s="32" t="n">
        <f aca="false">ROUND(Y41*Assumptions!B166,0)</f>
        <v>9</v>
      </c>
      <c r="AB41" s="34" t="n">
        <f aca="false">B41+Z41+AA41</f>
        <v>52870.7020138012</v>
      </c>
      <c r="AC41" s="35" t="n">
        <f aca="false">ROUND(IF(A41&gt;=Assumptions!B144,(IF(A41&gt;=25,Assumptions!B151,IF(A41&gt;=16,Assumptions!B150,Assumptions!B149))/1000*Assumptions!B146)+IF(A41&gt;=Assumptions!B145,(IF(A41&gt;=25,Assumptions!B151,IF(A41&gt;=16,Assumptions!B150,Assumptions!B149))*Assumptions!B152/1000*Assumptions!B147),0),0),0)</f>
        <v>76</v>
      </c>
      <c r="AD41" s="35" t="n">
        <f aca="false">IF(Y41&gt;=10000,Assumptions!B170,IF(Y41&gt;=5000,Assumptions!B169,IF(Y41&gt;=2000,Assumptions!B168,IF(Y41&gt;=500,Assumptions!B167,0))))</f>
        <v>20</v>
      </c>
    </row>
    <row r="43" customFormat="false" ht="15" hidden="false" customHeight="false" outlineLevel="0" collapsed="false">
      <c r="A43" s="42" t="s">
        <v>323</v>
      </c>
      <c r="I43" s="43" t="n">
        <f aca="false">SUM(I6:I41)</f>
        <v>84687</v>
      </c>
      <c r="P43" s="43" t="n">
        <f aca="false">SUM(P6:P41)</f>
        <v>20268</v>
      </c>
      <c r="Q43" s="43" t="n">
        <f aca="false">SUM(Q6:Q41)</f>
        <v>64419</v>
      </c>
      <c r="R43" s="43" t="n">
        <f aca="false">SUM(R6:R41)</f>
        <v>169031</v>
      </c>
      <c r="S43" s="43" t="n">
        <f aca="false">SUM(S6:S41)</f>
        <v>274288</v>
      </c>
      <c r="T43" s="43" t="n">
        <f aca="false">SUM(T6:T41)</f>
        <v>72606</v>
      </c>
      <c r="W43" s="43" t="n">
        <f aca="false">SUM(W6:W41)</f>
        <v>19052</v>
      </c>
      <c r="X43" s="43" t="n">
        <f aca="false">SUM(X6:X41)</f>
        <v>3126</v>
      </c>
      <c r="AC43" s="43" t="n">
        <f aca="false">SUM(AC6:AC41)</f>
        <v>1363</v>
      </c>
      <c r="AD43" s="43" t="n">
        <f aca="false">SUM(AD6:AD41)</f>
        <v>155</v>
      </c>
    </row>
    <row r="44" customFormat="false" ht="15" hidden="false" customHeight="false" outlineLevel="0" collapsed="false">
      <c r="A44" s="3" t="s">
        <v>324</v>
      </c>
      <c r="H44" s="44" t="n">
        <f aca="false">AVERAGE(H6:H41)</f>
        <v>2352.41666666667</v>
      </c>
      <c r="Q44" s="44" t="n">
        <f aca="false">AVERAGE(Q6:Q41)</f>
        <v>1789.41666666667</v>
      </c>
    </row>
    <row r="45" customFormat="false" ht="15" hidden="false" customHeight="false" outlineLevel="0" collapsed="false">
      <c r="A45" s="3" t="s">
        <v>325</v>
      </c>
      <c r="B45" s="45" t="n">
        <f aca="false">AB41</f>
        <v>52870.7020138012</v>
      </c>
      <c r="E45" s="45" t="n">
        <f aca="false">E41</f>
        <v>825</v>
      </c>
      <c r="H45" s="44" t="n">
        <f aca="false">H41</f>
        <v>9467</v>
      </c>
      <c r="S45" s="44" t="n">
        <f aca="false">S41</f>
        <v>30130</v>
      </c>
      <c r="T45" s="44" t="n">
        <f aca="false">T41</f>
        <v>8224</v>
      </c>
      <c r="U45" s="44" t="n">
        <f aca="false">U41</f>
        <v>254020</v>
      </c>
      <c r="V45" s="0" t="str">
        <f aca="false">V41</f>
        <v>Signal 3</v>
      </c>
      <c r="AC45" s="44" t="n">
        <f aca="false">AC41</f>
        <v>76</v>
      </c>
      <c r="AD45" s="44" t="n">
        <f aca="false">AD41</f>
        <v>20</v>
      </c>
    </row>
  </sheetData>
  <mergeCells count="3">
    <mergeCell ref="A1:AD1"/>
    <mergeCell ref="A2:AD2"/>
    <mergeCell ref="A3:A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10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2" min="21" style="0" width="12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8" min="25" style="0" width="11"/>
    <col collapsed="false" customWidth="true" hidden="false" outlineLevel="0" max="30" min="29" style="0" width="13"/>
  </cols>
  <sheetData>
    <row r="1" customFormat="false" ht="15" hidden="false" customHeight="false" outlineLevel="0" collapsed="false">
      <c r="A1" s="23" t="s">
        <v>328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customFormat="false" ht="15" hidden="false" customHeight="false" outlineLevel="0" collapsed="false">
      <c r="A2" s="2" t="s">
        <v>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2" t="s">
        <v>292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5" customFormat="false" ht="36" hidden="false" customHeight="true" outlineLevel="0" collapsed="false">
      <c r="A5" s="24" t="s">
        <v>293</v>
      </c>
      <c r="B5" s="24" t="s">
        <v>294</v>
      </c>
      <c r="C5" s="24" t="s">
        <v>295</v>
      </c>
      <c r="D5" s="24" t="s">
        <v>296</v>
      </c>
      <c r="E5" s="24" t="s">
        <v>297</v>
      </c>
      <c r="F5" s="24" t="s">
        <v>298</v>
      </c>
      <c r="G5" s="24" t="s">
        <v>299</v>
      </c>
      <c r="H5" s="24" t="s">
        <v>300</v>
      </c>
      <c r="I5" s="24" t="s">
        <v>301</v>
      </c>
      <c r="J5" s="24" t="s">
        <v>302</v>
      </c>
      <c r="K5" s="24" t="s">
        <v>303</v>
      </c>
      <c r="L5" s="24" t="s">
        <v>304</v>
      </c>
      <c r="M5" s="24" t="s">
        <v>305</v>
      </c>
      <c r="N5" s="24" t="s">
        <v>306</v>
      </c>
      <c r="O5" s="24" t="s">
        <v>307</v>
      </c>
      <c r="P5" s="24" t="s">
        <v>308</v>
      </c>
      <c r="Q5" s="24" t="s">
        <v>309</v>
      </c>
      <c r="R5" s="24" t="s">
        <v>310</v>
      </c>
      <c r="S5" s="24" t="s">
        <v>311</v>
      </c>
      <c r="T5" s="24" t="s">
        <v>312</v>
      </c>
      <c r="U5" s="24" t="s">
        <v>313</v>
      </c>
      <c r="V5" s="24" t="s">
        <v>314</v>
      </c>
      <c r="W5" s="24" t="s">
        <v>315</v>
      </c>
      <c r="X5" s="24" t="s">
        <v>316</v>
      </c>
      <c r="Y5" s="25" t="s">
        <v>317</v>
      </c>
      <c r="Z5" s="25" t="s">
        <v>318</v>
      </c>
      <c r="AA5" s="25" t="s">
        <v>319</v>
      </c>
      <c r="AB5" s="25" t="s">
        <v>320</v>
      </c>
      <c r="AC5" s="25" t="s">
        <v>321</v>
      </c>
      <c r="AD5" s="25" t="s">
        <v>322</v>
      </c>
    </row>
    <row r="6" customFormat="false" ht="15" hidden="false" customHeight="false" outlineLevel="0" collapsed="false">
      <c r="A6" s="52" t="n">
        <v>1</v>
      </c>
      <c r="B6" s="53" t="n">
        <f aca="false">Assumptions!B32</f>
        <v>1200</v>
      </c>
      <c r="C6" s="54" t="n">
        <f aca="false">ROUND(AB6*Assumptions!B25,0)</f>
        <v>24</v>
      </c>
      <c r="D6" s="54" t="n">
        <f aca="false">ROUND(AB6*Assumptions!B24,0)</f>
        <v>6</v>
      </c>
      <c r="E6" s="54" t="n">
        <f aca="false">D6</f>
        <v>6</v>
      </c>
      <c r="F6" s="54" t="n">
        <f aca="false">0</f>
        <v>0</v>
      </c>
      <c r="G6" s="54" t="n">
        <f aca="false">D6-F6</f>
        <v>6</v>
      </c>
      <c r="H6" s="55" t="n">
        <f aca="false">ROUND(E6*Assumptions!B14,0)</f>
        <v>48</v>
      </c>
      <c r="I6" s="55" t="n">
        <f aca="false">H6</f>
        <v>48</v>
      </c>
      <c r="J6" s="54" t="n">
        <f aca="false">ROUND(E6*Assumptions!B68,0)</f>
        <v>21</v>
      </c>
      <c r="K6" s="55" t="n">
        <f aca="false">ROUND(J6*Assumptions!B65,0)</f>
        <v>2</v>
      </c>
      <c r="L6" s="55" t="n">
        <f aca="false">Assumptions!B70+IF(E6&gt;Assumptions!B72,45,0)</f>
        <v>31</v>
      </c>
      <c r="M6" s="55" t="n">
        <f aca="false">Assumptions!B94+Assumptions!B95+Assumptions!B76+Assumptions!B77</f>
        <v>2785</v>
      </c>
      <c r="N6" s="55" t="n">
        <f aca="false">Assumptions!B81+Assumptions!B82+Assumptions!B87/12</f>
        <v>50</v>
      </c>
      <c r="O6" s="55" t="n">
        <f aca="false">ROUND(I6*Assumptions!B85+E6*Assumptions!B86+W6*Assumptions!B85+ROUND(AB6*Assumptions!B137*Assumptions!B138*Assumptions!B139,0)*Assumptions!B86,0)</f>
        <v>6</v>
      </c>
      <c r="P6" s="55" t="n">
        <f aca="false">K6+L6+M6+N6+O6+X6</f>
        <v>2882</v>
      </c>
      <c r="Q6" s="55" t="n">
        <f aca="false">I6-P6</f>
        <v>-2834</v>
      </c>
      <c r="R6" s="55" t="n">
        <f aca="false">0</f>
        <v>0</v>
      </c>
      <c r="S6" s="56" t="n">
        <f aca="false">I6+R6+W6+AC6+AD6</f>
        <v>95</v>
      </c>
      <c r="T6" s="55" t="n">
        <f aca="false">IF(U6&lt;P6*3,0,IF(U6&lt;P6*6,ROUND((Q6+R6+W6+AC6+AD6)*0.75*Assumptions!B113,0),ROUND((Q6+R6+W6+AC6+AD6)*0.75*Assumptions!B114,0)))</f>
        <v>0</v>
      </c>
      <c r="U6" s="56" t="n">
        <f aca="false">Q6+R6+W6+AC6+AD6</f>
        <v>-2787</v>
      </c>
      <c r="V6" s="57" t="str">
        <f aca="false">IF(AB6&gt;=Assumptions!B107,"Signal 6",IF(AB6&gt;=Assumptions!B106,"Signal 5",IF(AB6&gt;=Assumptions!B105,"Signal 4",IF(AB6&gt;=Assumptions!B104,"Signal 3",IF(AB6&gt;=Assumptions!B103,"Signal 2",IF(AB6&gt;=Assumptions!B102,"Signal 1","Pre-Signal 1"))))))</f>
        <v>Pre-Signal 1</v>
      </c>
      <c r="W6" s="55" t="n">
        <f aca="false">ROUND(AB6*Assumptions!B137*Assumptions!B138*Assumptions!B139*Assumptions!B136,0)</f>
        <v>47</v>
      </c>
      <c r="X6" s="55" t="n">
        <f aca="false">ROUND(AB6*Assumptions!B137*Assumptions!B65,0)</f>
        <v>8</v>
      </c>
      <c r="Y6" s="32" t="n">
        <f aca="false">Assumptions!B162</f>
        <v>50</v>
      </c>
      <c r="Z6" s="33" t="n">
        <f aca="false">Assumptions!B153</f>
        <v>0</v>
      </c>
      <c r="AA6" s="32" t="n">
        <f aca="false">ROUND(Y6*Assumptions!B166,0)</f>
        <v>0</v>
      </c>
      <c r="AB6" s="34" t="n">
        <f aca="false">B6+Z6+AA6</f>
        <v>1200</v>
      </c>
      <c r="AC6" s="35" t="n">
        <f aca="false">ROUND(IF(A6&gt;=Assumptions!B144,(IF(A6&gt;=25,Assumptions!B151,IF(A6&gt;=16,Assumptions!B150,Assumptions!B149))/1000*Assumptions!B146)+IF(A6&gt;=Assumptions!B145,(IF(A6&gt;=25,Assumptions!B151,IF(A6&gt;=16,Assumptions!B150,Assumptions!B149))*Assumptions!B152/1000*Assumptions!B147),0),0),0)</f>
        <v>0</v>
      </c>
      <c r="AD6" s="35" t="n">
        <f aca="false">IF(Y6&gt;=10000,Assumptions!B170,IF(Y6&gt;=5000,Assumptions!B169,IF(Y6&gt;=2000,Assumptions!B168,IF(Y6&gt;=500,Assumptions!B167,0))))</f>
        <v>0</v>
      </c>
    </row>
    <row r="7" customFormat="false" ht="15" hidden="false" customHeight="false" outlineLevel="0" collapsed="false">
      <c r="A7" s="36" t="n">
        <v>2</v>
      </c>
      <c r="B7" s="37" t="n">
        <f aca="false">B6*(1+Assumptions!B35)</f>
        <v>1380</v>
      </c>
      <c r="C7" s="38" t="n">
        <f aca="false">ROUND(AB7*Assumptions!B25,0)</f>
        <v>28</v>
      </c>
      <c r="D7" s="38" t="n">
        <f aca="false">ROUND(AB7*Assumptions!B24,0)</f>
        <v>7</v>
      </c>
      <c r="E7" s="38" t="n">
        <f aca="false">E6+D7-F7</f>
        <v>13</v>
      </c>
      <c r="F7" s="38" t="n">
        <f aca="false">ROUND(E6*Assumptions!B45,0)</f>
        <v>0</v>
      </c>
      <c r="G7" s="38" t="n">
        <f aca="false">D7-F7</f>
        <v>7</v>
      </c>
      <c r="H7" s="39" t="n">
        <f aca="false">ROUND(E7*Assumptions!B14,0)</f>
        <v>104</v>
      </c>
      <c r="I7" s="39" t="n">
        <f aca="false">H7</f>
        <v>104</v>
      </c>
      <c r="J7" s="38" t="n">
        <f aca="false">ROUND(E7*Assumptions!B68,0)</f>
        <v>46</v>
      </c>
      <c r="K7" s="39" t="n">
        <f aca="false">ROUND(J7*Assumptions!B65,0)</f>
        <v>4</v>
      </c>
      <c r="L7" s="39" t="n">
        <f aca="false">Assumptions!B70+IF(E7&gt;Assumptions!B72,45,0)</f>
        <v>31</v>
      </c>
      <c r="M7" s="39" t="n">
        <f aca="false">Assumptions!B76+Assumptions!B77</f>
        <v>35</v>
      </c>
      <c r="N7" s="39" t="n">
        <f aca="false">Assumptions!B81+Assumptions!B82+Assumptions!B87/12</f>
        <v>50</v>
      </c>
      <c r="O7" s="39" t="n">
        <f aca="false">ROUND(I7*Assumptions!B85+E7*Assumptions!B86+W7*Assumptions!B85+ROUND(AB7*Assumptions!B137*Assumptions!B138*Assumptions!B139,0)*Assumptions!B86,0)</f>
        <v>10</v>
      </c>
      <c r="P7" s="39" t="n">
        <f aca="false">K7+L7+M7+N7+O7+X7</f>
        <v>139</v>
      </c>
      <c r="Q7" s="39" t="n">
        <f aca="false">I7-P7</f>
        <v>-35</v>
      </c>
      <c r="R7" s="39" t="n">
        <f aca="false">0</f>
        <v>0</v>
      </c>
      <c r="S7" s="40" t="n">
        <f aca="false">I7+R7+W7+AC7+AD7</f>
        <v>158</v>
      </c>
      <c r="T7" s="39" t="n">
        <f aca="false">IF(U7&lt;P7*3,0,IF(U7&lt;P7*6,ROUND((Q7+R7+W7+AC7+AD7)*0.75*Assumptions!B113,0),ROUND((Q7+R7+W7+AC7+AD7)*0.75*Assumptions!B114,0)))</f>
        <v>0</v>
      </c>
      <c r="U7" s="40" t="n">
        <f aca="false">U6+Q7+R7+W7+AC7+AD7</f>
        <v>-2768</v>
      </c>
      <c r="V7" s="41" t="str">
        <f aca="false">IF(AB7&gt;=Assumptions!B107,"Signal 6",IF(AB7&gt;=Assumptions!B106,"Signal 5",IF(AB7&gt;=Assumptions!B105,"Signal 4",IF(AB7&gt;=Assumptions!B104,"Signal 3",IF(AB7&gt;=Assumptions!B103,"Signal 2",IF(AB7&gt;=Assumptions!B102,"Signal 1","Pre-Signal 1"))))))</f>
        <v>Pre-Signal 1</v>
      </c>
      <c r="W7" s="39" t="n">
        <f aca="false">ROUND(AB7*Assumptions!B137*Assumptions!B138*Assumptions!B139*Assumptions!B136,0)</f>
        <v>54</v>
      </c>
      <c r="X7" s="39" t="n">
        <f aca="false">ROUND(AB7*Assumptions!B137*Assumptions!B65,0)</f>
        <v>9</v>
      </c>
      <c r="Y7" s="32" t="n">
        <f aca="false">ROUND(Y6*(1+Assumptions!B163),0)</f>
        <v>60</v>
      </c>
      <c r="Z7" s="33" t="n">
        <f aca="false">Assumptions!B153</f>
        <v>0</v>
      </c>
      <c r="AA7" s="32" t="n">
        <f aca="false">ROUND(Y7*Assumptions!B166,0)</f>
        <v>0</v>
      </c>
      <c r="AB7" s="34" t="n">
        <f aca="false">B7+Z7+AA7</f>
        <v>1380</v>
      </c>
      <c r="AC7" s="35" t="n">
        <f aca="false">ROUND(IF(A7&gt;=Assumptions!B144,(IF(A7&gt;=25,Assumptions!B151,IF(A7&gt;=16,Assumptions!B150,Assumptions!B149))/1000*Assumptions!B146)+IF(A7&gt;=Assumptions!B145,(IF(A7&gt;=25,Assumptions!B151,IF(A7&gt;=16,Assumptions!B150,Assumptions!B149))*Assumptions!B152/1000*Assumptions!B147),0),0),0)</f>
        <v>0</v>
      </c>
      <c r="AD7" s="35" t="n">
        <f aca="false">IF(Y7&gt;=10000,Assumptions!B170,IF(Y7&gt;=5000,Assumptions!B169,IF(Y7&gt;=2000,Assumptions!B168,IF(Y7&gt;=500,Assumptions!B167,0))))</f>
        <v>0</v>
      </c>
    </row>
    <row r="8" customFormat="false" ht="15" hidden="false" customHeight="false" outlineLevel="0" collapsed="false">
      <c r="A8" s="52" t="n">
        <v>3</v>
      </c>
      <c r="B8" s="53" t="n">
        <f aca="false">B7*(1+Assumptions!B35)*Assumptions!B36</f>
        <v>1825.05</v>
      </c>
      <c r="C8" s="54" t="n">
        <f aca="false">ROUND(AB8*Assumptions!B25,0)</f>
        <v>37</v>
      </c>
      <c r="D8" s="54" t="n">
        <f aca="false">ROUND(AB8*Assumptions!B24,0)</f>
        <v>9</v>
      </c>
      <c r="E8" s="54" t="n">
        <f aca="false">E7+D8-F8</f>
        <v>21</v>
      </c>
      <c r="F8" s="54" t="n">
        <f aca="false">ROUND(E7*Assumptions!B45,0)</f>
        <v>1</v>
      </c>
      <c r="G8" s="54" t="n">
        <f aca="false">D8-F8</f>
        <v>8</v>
      </c>
      <c r="H8" s="55" t="n">
        <f aca="false">ROUND(E8*Assumptions!B14,0)</f>
        <v>168</v>
      </c>
      <c r="I8" s="55" t="n">
        <f aca="false">H8</f>
        <v>168</v>
      </c>
      <c r="J8" s="54" t="n">
        <f aca="false">ROUND(E8*Assumptions!B68,0)</f>
        <v>74</v>
      </c>
      <c r="K8" s="55" t="n">
        <f aca="false">ROUND(J8*Assumptions!B65,0)</f>
        <v>6</v>
      </c>
      <c r="L8" s="55" t="n">
        <f aca="false">Assumptions!B70+IF(E8&gt;Assumptions!B72,45,0)</f>
        <v>31</v>
      </c>
      <c r="M8" s="55" t="n">
        <f aca="false">Assumptions!B76+Assumptions!B77</f>
        <v>35</v>
      </c>
      <c r="N8" s="55" t="n">
        <f aca="false">Assumptions!B81+Assumptions!B82+Assumptions!B87/12+Assumptions!B148</f>
        <v>116</v>
      </c>
      <c r="O8" s="55" t="n">
        <f aca="false">ROUND(I8*Assumptions!B85+E8*Assumptions!B86+W8*Assumptions!B85+ROUND(AB8*Assumptions!B137*Assumptions!B138*Assumptions!B139,0)*Assumptions!B86,0)</f>
        <v>15</v>
      </c>
      <c r="P8" s="55" t="n">
        <f aca="false">K8+L8+M8+N8+O8+X8</f>
        <v>215</v>
      </c>
      <c r="Q8" s="55" t="n">
        <f aca="false">I8-P8</f>
        <v>-47</v>
      </c>
      <c r="R8" s="55" t="n">
        <f aca="false">0</f>
        <v>0</v>
      </c>
      <c r="S8" s="56" t="n">
        <f aca="false">I8+R8+W8+AC8+AD8</f>
        <v>239</v>
      </c>
      <c r="T8" s="55" t="n">
        <f aca="false">IF(U8&lt;P8*3,0,IF(U8&lt;P8*6,ROUND((Q8+R8+W8+AC8+AD8)*0.75*Assumptions!B113,0),ROUND((Q8+R8+W8+AC8+AD8)*0.75*Assumptions!B114,0)))</f>
        <v>0</v>
      </c>
      <c r="U8" s="56" t="n">
        <f aca="false">U7+Q8+R8+W8+AC8+AD8</f>
        <v>-2744</v>
      </c>
      <c r="V8" s="57" t="str">
        <f aca="false">IF(AB8&gt;=Assumptions!B107,"Signal 6",IF(AB8&gt;=Assumptions!B106,"Signal 5",IF(AB8&gt;=Assumptions!B105,"Signal 4",IF(AB8&gt;=Assumptions!B104,"Signal 3",IF(AB8&gt;=Assumptions!B103,"Signal 2",IF(AB8&gt;=Assumptions!B102,"Signal 1","Pre-Signal 1"))))))</f>
        <v>Pre-Signal 1</v>
      </c>
      <c r="W8" s="55" t="n">
        <f aca="false">ROUND(AB8*Assumptions!B137*Assumptions!B138*Assumptions!B139*Assumptions!B136,0)</f>
        <v>71</v>
      </c>
      <c r="X8" s="55" t="n">
        <f aca="false">ROUND(AB8*Assumptions!B137*Assumptions!B65,0)</f>
        <v>12</v>
      </c>
      <c r="Y8" s="32" t="n">
        <f aca="false">ROUND(Y7*(1+Assumptions!B163),0)</f>
        <v>72</v>
      </c>
      <c r="Z8" s="33" t="n">
        <f aca="false">Assumptions!B153</f>
        <v>0</v>
      </c>
      <c r="AA8" s="32" t="n">
        <f aca="false">ROUND(Y8*Assumptions!B166,0)</f>
        <v>0</v>
      </c>
      <c r="AB8" s="34" t="n">
        <f aca="false">B8+Z8+AA8</f>
        <v>1825.05</v>
      </c>
      <c r="AC8" s="35" t="n">
        <f aca="false">ROUND(IF(A8&gt;=Assumptions!B144,(IF(A8&gt;=25,Assumptions!B151,IF(A8&gt;=16,Assumptions!B150,Assumptions!B149))/1000*Assumptions!B146)+IF(A8&gt;=Assumptions!B145,(IF(A8&gt;=25,Assumptions!B151,IF(A8&gt;=16,Assumptions!B150,Assumptions!B149))*Assumptions!B152/1000*Assumptions!B147),0),0),0)</f>
        <v>0</v>
      </c>
      <c r="AD8" s="35" t="n">
        <f aca="false">IF(Y8&gt;=10000,Assumptions!B170,IF(Y8&gt;=5000,Assumptions!B169,IF(Y8&gt;=2000,Assumptions!B168,IF(Y8&gt;=500,Assumptions!B167,0))))</f>
        <v>0</v>
      </c>
    </row>
    <row r="9" customFormat="false" ht="15" hidden="false" customHeight="false" outlineLevel="0" collapsed="false">
      <c r="A9" s="36" t="n">
        <v>4</v>
      </c>
      <c r="B9" s="37" t="n">
        <f aca="false">B8*(1+Assumptions!B35)</f>
        <v>2098.8075</v>
      </c>
      <c r="C9" s="38" t="n">
        <f aca="false">ROUND(AB9*Assumptions!B25,0)</f>
        <v>42</v>
      </c>
      <c r="D9" s="38" t="n">
        <f aca="false">ROUND(AB9*Assumptions!B24,0)</f>
        <v>10</v>
      </c>
      <c r="E9" s="38" t="n">
        <f aca="false">E8+D9-F9</f>
        <v>30</v>
      </c>
      <c r="F9" s="38" t="n">
        <f aca="false">ROUND(E8*Assumptions!B45,0)</f>
        <v>1</v>
      </c>
      <c r="G9" s="38" t="n">
        <f aca="false">D9-F9</f>
        <v>9</v>
      </c>
      <c r="H9" s="39" t="n">
        <f aca="false">ROUND(E9*Assumptions!B14,0)</f>
        <v>240</v>
      </c>
      <c r="I9" s="39" t="n">
        <f aca="false">H9</f>
        <v>240</v>
      </c>
      <c r="J9" s="38" t="n">
        <f aca="false">ROUND(E9*Assumptions!B68,0)</f>
        <v>105</v>
      </c>
      <c r="K9" s="39" t="n">
        <f aca="false">ROUND(J9*Assumptions!B65,0)</f>
        <v>8</v>
      </c>
      <c r="L9" s="39" t="n">
        <f aca="false">Assumptions!B70+IF(E9&gt;Assumptions!B72,45,0)</f>
        <v>31</v>
      </c>
      <c r="M9" s="39" t="n">
        <f aca="false">Assumptions!B76+Assumptions!B77</f>
        <v>35</v>
      </c>
      <c r="N9" s="39" t="n">
        <f aca="false">Assumptions!B81+Assumptions!B82+Assumptions!B87/12+Assumptions!B148</f>
        <v>116</v>
      </c>
      <c r="O9" s="39" t="n">
        <f aca="false">ROUND(I9*Assumptions!B85+E9*Assumptions!B86+W9*Assumptions!B85+ROUND(AB9*Assumptions!B137*Assumptions!B138*Assumptions!B139,0)*Assumptions!B86,0)</f>
        <v>20</v>
      </c>
      <c r="P9" s="39" t="n">
        <f aca="false">K9+L9+M9+N9+O9+X9</f>
        <v>223</v>
      </c>
      <c r="Q9" s="39" t="n">
        <f aca="false">I9-P9</f>
        <v>17</v>
      </c>
      <c r="R9" s="39" t="n">
        <f aca="false">0</f>
        <v>0</v>
      </c>
      <c r="S9" s="40" t="n">
        <f aca="false">I9+R9+W9+AC9+AD9</f>
        <v>322</v>
      </c>
      <c r="T9" s="39" t="n">
        <f aca="false">IF(U9&lt;P9*3,0,IF(U9&lt;P9*6,ROUND((Q9+R9+W9+AC9+AD9)*0.75*Assumptions!B113,0),ROUND((Q9+R9+W9+AC9+AD9)*0.75*Assumptions!B114,0)))</f>
        <v>0</v>
      </c>
      <c r="U9" s="40" t="n">
        <f aca="false">U8+Q9+R9+W9+AC9+AD9</f>
        <v>-2645</v>
      </c>
      <c r="V9" s="41" t="str">
        <f aca="false">IF(AB9&gt;=Assumptions!B107,"Signal 6",IF(AB9&gt;=Assumptions!B106,"Signal 5",IF(AB9&gt;=Assumptions!B105,"Signal 4",IF(AB9&gt;=Assumptions!B104,"Signal 3",IF(AB9&gt;=Assumptions!B103,"Signal 2",IF(AB9&gt;=Assumptions!B102,"Signal 1","Pre-Signal 1"))))))</f>
        <v>Pre-Signal 1</v>
      </c>
      <c r="W9" s="39" t="n">
        <f aca="false">ROUND(AB9*Assumptions!B137*Assumptions!B138*Assumptions!B139*Assumptions!B136,0)</f>
        <v>82</v>
      </c>
      <c r="X9" s="39" t="n">
        <f aca="false">ROUND(AB9*Assumptions!B137*Assumptions!B65,0)</f>
        <v>13</v>
      </c>
      <c r="Y9" s="32" t="n">
        <f aca="false">ROUND(Y8*(1+Assumptions!B163),0)</f>
        <v>86</v>
      </c>
      <c r="Z9" s="33" t="n">
        <f aca="false">Assumptions!B153</f>
        <v>0</v>
      </c>
      <c r="AA9" s="32" t="n">
        <f aca="false">ROUND(Y9*Assumptions!B166,0)</f>
        <v>0</v>
      </c>
      <c r="AB9" s="34" t="n">
        <f aca="false">B9+Z9+AA9</f>
        <v>2098.8075</v>
      </c>
      <c r="AC9" s="35" t="n">
        <f aca="false">ROUND(IF(A9&gt;=Assumptions!B144,(IF(A9&gt;=25,Assumptions!B151,IF(A9&gt;=16,Assumptions!B150,Assumptions!B149))/1000*Assumptions!B146)+IF(A9&gt;=Assumptions!B145,(IF(A9&gt;=25,Assumptions!B151,IF(A9&gt;=16,Assumptions!B150,Assumptions!B149))*Assumptions!B152/1000*Assumptions!B147),0),0),0)</f>
        <v>0</v>
      </c>
      <c r="AD9" s="35" t="n">
        <f aca="false">IF(Y9&gt;=10000,Assumptions!B170,IF(Y9&gt;=5000,Assumptions!B169,IF(Y9&gt;=2000,Assumptions!B168,IF(Y9&gt;=500,Assumptions!B167,0))))</f>
        <v>0</v>
      </c>
    </row>
    <row r="10" customFormat="false" ht="15" hidden="false" customHeight="false" outlineLevel="0" collapsed="false">
      <c r="A10" s="52" t="n">
        <v>5</v>
      </c>
      <c r="B10" s="53" t="n">
        <f aca="false">B9*(1+Assumptions!B35)</f>
        <v>2413.628625</v>
      </c>
      <c r="C10" s="54" t="n">
        <f aca="false">ROUND(AB10*Assumptions!B25,0)</f>
        <v>48</v>
      </c>
      <c r="D10" s="54" t="n">
        <f aca="false">ROUND(AB10*Assumptions!B24,0)</f>
        <v>12</v>
      </c>
      <c r="E10" s="54" t="n">
        <f aca="false">E9+D10-F10</f>
        <v>41</v>
      </c>
      <c r="F10" s="54" t="n">
        <f aca="false">ROUND(E9*Assumptions!B45,0)</f>
        <v>1</v>
      </c>
      <c r="G10" s="54" t="n">
        <f aca="false">D10-F10</f>
        <v>11</v>
      </c>
      <c r="H10" s="55" t="n">
        <f aca="false">ROUND(E10*Assumptions!B14,0)</f>
        <v>328</v>
      </c>
      <c r="I10" s="55" t="n">
        <f aca="false">H10</f>
        <v>328</v>
      </c>
      <c r="J10" s="54" t="n">
        <f aca="false">ROUND(E10*Assumptions!B68,0)</f>
        <v>144</v>
      </c>
      <c r="K10" s="55" t="n">
        <f aca="false">ROUND(J10*Assumptions!B65,0)</f>
        <v>12</v>
      </c>
      <c r="L10" s="55" t="n">
        <f aca="false">Assumptions!B70+IF(E10&gt;Assumptions!B72,45,0)</f>
        <v>31</v>
      </c>
      <c r="M10" s="55" t="n">
        <f aca="false">Assumptions!B76+Assumptions!B77</f>
        <v>35</v>
      </c>
      <c r="N10" s="55" t="n">
        <f aca="false">Assumptions!B81+Assumptions!B82+Assumptions!B87/12+Assumptions!B148</f>
        <v>116</v>
      </c>
      <c r="O10" s="55" t="n">
        <f aca="false">ROUND(I10*Assumptions!B85+E10*Assumptions!B86+W10*Assumptions!B85+ROUND(AB10*Assumptions!B137*Assumptions!B138*Assumptions!B139,0)*Assumptions!B86,0)</f>
        <v>27</v>
      </c>
      <c r="P10" s="55" t="n">
        <f aca="false">K10+L10+M10+N10+O10+X10</f>
        <v>236</v>
      </c>
      <c r="Q10" s="55" t="n">
        <f aca="false">I10-P10</f>
        <v>92</v>
      </c>
      <c r="R10" s="55" t="n">
        <f aca="false">0</f>
        <v>0</v>
      </c>
      <c r="S10" s="56" t="n">
        <f aca="false">I10+R10+W10+AC10+AD10</f>
        <v>422</v>
      </c>
      <c r="T10" s="55" t="n">
        <f aca="false">IF(U10&lt;P10*3,0,IF(U10&lt;P10*6,ROUND((Q10+R10+W10+AC10+AD10)*0.75*Assumptions!B113,0),ROUND((Q10+R10+W10+AC10+AD10)*0.75*Assumptions!B114,0)))</f>
        <v>0</v>
      </c>
      <c r="U10" s="56" t="n">
        <f aca="false">U9+Q10+R10+W10+AC10+AD10</f>
        <v>-2459</v>
      </c>
      <c r="V10" s="57" t="str">
        <f aca="false">IF(AB10&gt;=Assumptions!B107,"Signal 6",IF(AB10&gt;=Assumptions!B106,"Signal 5",IF(AB10&gt;=Assumptions!B105,"Signal 4",IF(AB10&gt;=Assumptions!B104,"Signal 3",IF(AB10&gt;=Assumptions!B103,"Signal 2",IF(AB10&gt;=Assumptions!B102,"Signal 1","Pre-Signal 1"))))))</f>
        <v>Pre-Signal 1</v>
      </c>
      <c r="W10" s="55" t="n">
        <f aca="false">ROUND(AB10*Assumptions!B137*Assumptions!B138*Assumptions!B139*Assumptions!B136,0)</f>
        <v>94</v>
      </c>
      <c r="X10" s="55" t="n">
        <f aca="false">ROUND(AB10*Assumptions!B137*Assumptions!B65,0)</f>
        <v>15</v>
      </c>
      <c r="Y10" s="32" t="n">
        <f aca="false">ROUND(Y9*(1+Assumptions!B163),0)</f>
        <v>103</v>
      </c>
      <c r="Z10" s="33" t="n">
        <f aca="false">Assumptions!B153</f>
        <v>0</v>
      </c>
      <c r="AA10" s="32" t="n">
        <f aca="false">ROUND(Y10*Assumptions!B166,0)</f>
        <v>0</v>
      </c>
      <c r="AB10" s="34" t="n">
        <f aca="false">B10+Z10+AA10</f>
        <v>2413.628625</v>
      </c>
      <c r="AC10" s="35" t="n">
        <f aca="false">ROUND(IF(A10&gt;=Assumptions!B144,(IF(A10&gt;=25,Assumptions!B151,IF(A10&gt;=16,Assumptions!B150,Assumptions!B149))/1000*Assumptions!B146)+IF(A10&gt;=Assumptions!B145,(IF(A10&gt;=25,Assumptions!B151,IF(A10&gt;=16,Assumptions!B150,Assumptions!B149))*Assumptions!B152/1000*Assumptions!B147),0),0),0)</f>
        <v>0</v>
      </c>
      <c r="AD10" s="35" t="n">
        <f aca="false">IF(Y10&gt;=10000,Assumptions!B170,IF(Y10&gt;=5000,Assumptions!B169,IF(Y10&gt;=2000,Assumptions!B168,IF(Y10&gt;=500,Assumptions!B167,0))))</f>
        <v>0</v>
      </c>
    </row>
    <row r="11" customFormat="false" ht="15" hidden="false" customHeight="false" outlineLevel="0" collapsed="false">
      <c r="A11" s="36" t="n">
        <v>6</v>
      </c>
      <c r="B11" s="37" t="n">
        <f aca="false">B10*(1+Assumptions!B35)*Assumptions!B37</f>
        <v>2997.72675225</v>
      </c>
      <c r="C11" s="38" t="n">
        <f aca="false">ROUND(AB11*Assumptions!B25,0)</f>
        <v>60</v>
      </c>
      <c r="D11" s="38" t="n">
        <f aca="false">ROUND(AB11*Assumptions!B24,0)</f>
        <v>15</v>
      </c>
      <c r="E11" s="38" t="n">
        <f aca="false">E10+D11-F11</f>
        <v>54</v>
      </c>
      <c r="F11" s="38" t="n">
        <f aca="false">ROUND(E10*Assumptions!B45,0)</f>
        <v>2</v>
      </c>
      <c r="G11" s="38" t="n">
        <f aca="false">D11-F11</f>
        <v>13</v>
      </c>
      <c r="H11" s="39" t="n">
        <f aca="false">ROUND(E11*Assumptions!B14,0)</f>
        <v>432</v>
      </c>
      <c r="I11" s="39" t="n">
        <f aca="false">H11</f>
        <v>432</v>
      </c>
      <c r="J11" s="38" t="n">
        <f aca="false">ROUND(E11*Assumptions!B68,0)</f>
        <v>189</v>
      </c>
      <c r="K11" s="39" t="n">
        <f aca="false">ROUND(J11*Assumptions!B65,0)</f>
        <v>15</v>
      </c>
      <c r="L11" s="39" t="n">
        <f aca="false">Assumptions!B70+IF(E11&gt;Assumptions!B72,45,0)</f>
        <v>31</v>
      </c>
      <c r="M11" s="39" t="n">
        <f aca="false">Assumptions!B76+Assumptions!B77</f>
        <v>35</v>
      </c>
      <c r="N11" s="39" t="n">
        <f aca="false">Assumptions!B81+Assumptions!B82+Assumptions!B87/12+Assumptions!B148</f>
        <v>116</v>
      </c>
      <c r="O11" s="39" t="n">
        <f aca="false">ROUND(I11*Assumptions!B85+E11*Assumptions!B86+W11*Assumptions!B85+ROUND(AB11*Assumptions!B137*Assumptions!B138*Assumptions!B139,0)*Assumptions!B86,0)</f>
        <v>35</v>
      </c>
      <c r="P11" s="39" t="n">
        <f aca="false">K11+L11+M11+N11+O11+X11</f>
        <v>251</v>
      </c>
      <c r="Q11" s="39" t="n">
        <f aca="false">I11-P11</f>
        <v>181</v>
      </c>
      <c r="R11" s="39" t="n">
        <f aca="false">ROUND(AB11*Assumptions!B51*Assumptions!B52,0)</f>
        <v>1058</v>
      </c>
      <c r="S11" s="40" t="n">
        <f aca="false">I11+R11+W11+AC11+AD11</f>
        <v>1608</v>
      </c>
      <c r="T11" s="39" t="n">
        <f aca="false">IF(U11&lt;P11*3,0,IF(U11&lt;P11*6,ROUND((Q11+R11+W11+AC11+AD11)*0.75*Assumptions!B113,0),ROUND((Q11+R11+W11+AC11+AD11)*0.75*Assumptions!B114,0)))</f>
        <v>0</v>
      </c>
      <c r="U11" s="40" t="n">
        <f aca="false">U10+Q11+R11+W11+AC11+AD11</f>
        <v>-1102</v>
      </c>
      <c r="V11" s="41" t="str">
        <f aca="false">IF(AB11&gt;=Assumptions!B107,"Signal 6",IF(AB11&gt;=Assumptions!B106,"Signal 5",IF(AB11&gt;=Assumptions!B105,"Signal 4",IF(AB11&gt;=Assumptions!B104,"Signal 3",IF(AB11&gt;=Assumptions!B103,"Signal 2",IF(AB11&gt;=Assumptions!B102,"Signal 1","Pre-Signal 1"))))))</f>
        <v>Pre-Signal 1</v>
      </c>
      <c r="W11" s="39" t="n">
        <f aca="false">ROUND(AB11*Assumptions!B137*Assumptions!B138*Assumptions!B139*Assumptions!B136,0)</f>
        <v>118</v>
      </c>
      <c r="X11" s="39" t="n">
        <f aca="false">ROUND(AB11*Assumptions!B137*Assumptions!B65,0)</f>
        <v>19</v>
      </c>
      <c r="Y11" s="32" t="n">
        <f aca="false">ROUND(Y10*(1+Assumptions!B163),0)</f>
        <v>124</v>
      </c>
      <c r="Z11" s="33" t="n">
        <f aca="false">Assumptions!B154</f>
        <v>25</v>
      </c>
      <c r="AA11" s="32" t="n">
        <f aca="false">ROUND(Y11*Assumptions!B166,0)</f>
        <v>0</v>
      </c>
      <c r="AB11" s="34" t="n">
        <f aca="false">B11+Z11+AA11</f>
        <v>3022.72675225</v>
      </c>
      <c r="AC11" s="35" t="n">
        <f aca="false">ROUND(IF(A11&gt;=Assumptions!B144,(IF(A11&gt;=25,Assumptions!B151,IF(A11&gt;=16,Assumptions!B150,Assumptions!B149))/1000*Assumptions!B146)+IF(A11&gt;=Assumptions!B145,(IF(A11&gt;=25,Assumptions!B151,IF(A11&gt;=16,Assumptions!B150,Assumptions!B149))*Assumptions!B152/1000*Assumptions!B147),0),0),0)</f>
        <v>0</v>
      </c>
      <c r="AD11" s="35" t="n">
        <f aca="false">IF(Y11&gt;=10000,Assumptions!B170,IF(Y11&gt;=5000,Assumptions!B169,IF(Y11&gt;=2000,Assumptions!B168,IF(Y11&gt;=500,Assumptions!B167,0))))</f>
        <v>0</v>
      </c>
    </row>
    <row r="12" customFormat="false" ht="15" hidden="false" customHeight="false" outlineLevel="0" collapsed="false">
      <c r="A12" s="52" t="n">
        <v>7</v>
      </c>
      <c r="B12" s="53" t="n">
        <f aca="false">B11*(1+Assumptions!B35)</f>
        <v>3447.3857650875</v>
      </c>
      <c r="C12" s="54" t="n">
        <f aca="false">ROUND(AB12*Assumptions!B25,0)</f>
        <v>69</v>
      </c>
      <c r="D12" s="54" t="n">
        <f aca="false">ROUND(AB12*Assumptions!B24,0)</f>
        <v>17</v>
      </c>
      <c r="E12" s="54" t="n">
        <f aca="false">E11+D12-F12</f>
        <v>69</v>
      </c>
      <c r="F12" s="54" t="n">
        <f aca="false">ROUND(E11*Assumptions!B45,0)</f>
        <v>2</v>
      </c>
      <c r="G12" s="54" t="n">
        <f aca="false">D12-F12</f>
        <v>15</v>
      </c>
      <c r="H12" s="55" t="n">
        <f aca="false">ROUND(E12*Assumptions!B14,0)</f>
        <v>552</v>
      </c>
      <c r="I12" s="55" t="n">
        <f aca="false">H12</f>
        <v>552</v>
      </c>
      <c r="J12" s="54" t="n">
        <f aca="false">ROUND(E12*Assumptions!B68,0)</f>
        <v>242</v>
      </c>
      <c r="K12" s="55" t="n">
        <f aca="false">ROUND(J12*Assumptions!B65,0)</f>
        <v>19</v>
      </c>
      <c r="L12" s="55" t="n">
        <f aca="false">Assumptions!B70+IF(E12&gt;Assumptions!B72,45,0)</f>
        <v>31</v>
      </c>
      <c r="M12" s="55" t="n">
        <f aca="false">Assumptions!B76+Assumptions!B77</f>
        <v>35</v>
      </c>
      <c r="N12" s="55" t="n">
        <f aca="false">Assumptions!B81+Assumptions!B82+Assumptions!B87/12+Assumptions!B148</f>
        <v>116</v>
      </c>
      <c r="O12" s="55" t="n">
        <f aca="false">ROUND(I12*Assumptions!B85+E12*Assumptions!B86+W12*Assumptions!B85+ROUND(AB12*Assumptions!B137*Assumptions!B138*Assumptions!B139,0)*Assumptions!B86,0)</f>
        <v>44</v>
      </c>
      <c r="P12" s="55" t="n">
        <f aca="false">K12+L12+M12+N12+O12+X12</f>
        <v>267</v>
      </c>
      <c r="Q12" s="55" t="n">
        <f aca="false">I12-P12</f>
        <v>285</v>
      </c>
      <c r="R12" s="55" t="n">
        <f aca="false">ROUND(AB12*Assumptions!B51*Assumptions!B52,0)</f>
        <v>1215</v>
      </c>
      <c r="S12" s="56" t="n">
        <f aca="false">I12+R12+W12+AC12+AD12</f>
        <v>1902</v>
      </c>
      <c r="T12" s="55" t="n">
        <f aca="false">IF(U12&lt;P12*3,0,IF(U12&lt;P12*6,ROUND((Q12+R12+W12+AC12+AD12)*0.75*Assumptions!B113,0),ROUND((Q12+R12+W12+AC12+AD12)*0.75*Assumptions!B114,0)))</f>
        <v>0</v>
      </c>
      <c r="U12" s="56" t="n">
        <f aca="false">U11+Q12+R12+W12+AC12+AD12</f>
        <v>533</v>
      </c>
      <c r="V12" s="57" t="str">
        <f aca="false">IF(AB12&gt;=Assumptions!B107,"Signal 6",IF(AB12&gt;=Assumptions!B106,"Signal 5",IF(AB12&gt;=Assumptions!B105,"Signal 4",IF(AB12&gt;=Assumptions!B104,"Signal 3",IF(AB12&gt;=Assumptions!B103,"Signal 2",IF(AB12&gt;=Assumptions!B102,"Signal 1","Pre-Signal 1"))))))</f>
        <v>Pre-Signal 1</v>
      </c>
      <c r="W12" s="55" t="n">
        <f aca="false">ROUND(AB12*Assumptions!B137*Assumptions!B138*Assumptions!B139*Assumptions!B136,0)</f>
        <v>135</v>
      </c>
      <c r="X12" s="55" t="n">
        <f aca="false">ROUND(AB12*Assumptions!B137*Assumptions!B65,0)</f>
        <v>22</v>
      </c>
      <c r="Y12" s="32" t="n">
        <f aca="false">ROUND(Y11*(1+Assumptions!B164),0)</f>
        <v>143</v>
      </c>
      <c r="Z12" s="33" t="n">
        <f aca="false">Assumptions!B154</f>
        <v>25</v>
      </c>
      <c r="AA12" s="32" t="n">
        <f aca="false">ROUND(Y12*Assumptions!B166,0)</f>
        <v>0</v>
      </c>
      <c r="AB12" s="34" t="n">
        <f aca="false">B12+Z12+AA12</f>
        <v>3472.3857650875</v>
      </c>
      <c r="AC12" s="35" t="n">
        <f aca="false">ROUND(IF(A12&gt;=Assumptions!B144,(IF(A12&gt;=25,Assumptions!B151,IF(A12&gt;=16,Assumptions!B150,Assumptions!B149))/1000*Assumptions!B146)+IF(A12&gt;=Assumptions!B145,(IF(A12&gt;=25,Assumptions!B151,IF(A12&gt;=16,Assumptions!B150,Assumptions!B149))*Assumptions!B152/1000*Assumptions!B147),0),0),0)</f>
        <v>0</v>
      </c>
      <c r="AD12" s="35" t="n">
        <f aca="false">IF(Y12&gt;=10000,Assumptions!B170,IF(Y12&gt;=5000,Assumptions!B169,IF(Y12&gt;=2000,Assumptions!B168,IF(Y12&gt;=500,Assumptions!B167,0))))</f>
        <v>0</v>
      </c>
    </row>
    <row r="13" customFormat="false" ht="15" hidden="false" customHeight="false" outlineLevel="0" collapsed="false">
      <c r="A13" s="36" t="n">
        <v>8</v>
      </c>
      <c r="B13" s="37" t="n">
        <f aca="false">B12*(1+Assumptions!B35)</f>
        <v>3964.49362985062</v>
      </c>
      <c r="C13" s="38" t="n">
        <f aca="false">ROUND(AB13*Assumptions!B25,0)</f>
        <v>80</v>
      </c>
      <c r="D13" s="38" t="n">
        <f aca="false">ROUND(AB13*Assumptions!B24,0)</f>
        <v>20</v>
      </c>
      <c r="E13" s="38" t="n">
        <f aca="false">E12+D13-F13</f>
        <v>86</v>
      </c>
      <c r="F13" s="38" t="n">
        <f aca="false">ROUND(E12*Assumptions!B45,0)</f>
        <v>3</v>
      </c>
      <c r="G13" s="38" t="n">
        <f aca="false">D13-F13</f>
        <v>17</v>
      </c>
      <c r="H13" s="39" t="n">
        <f aca="false">ROUND(E13*Assumptions!B14,0)</f>
        <v>688</v>
      </c>
      <c r="I13" s="39" t="n">
        <f aca="false">H13</f>
        <v>688</v>
      </c>
      <c r="J13" s="38" t="n">
        <f aca="false">ROUND(E13*Assumptions!B68,0)</f>
        <v>301</v>
      </c>
      <c r="K13" s="39" t="n">
        <f aca="false">ROUND(J13*Assumptions!B65,0)</f>
        <v>24</v>
      </c>
      <c r="L13" s="39" t="n">
        <f aca="false">Assumptions!B70+IF(E13&gt;Assumptions!B72,45,0)</f>
        <v>31</v>
      </c>
      <c r="M13" s="39" t="n">
        <f aca="false">Assumptions!B76+Assumptions!B77</f>
        <v>35</v>
      </c>
      <c r="N13" s="39" t="n">
        <f aca="false">Assumptions!B81+Assumptions!B82+Assumptions!B87/12+Assumptions!B148</f>
        <v>116</v>
      </c>
      <c r="O13" s="39" t="n">
        <f aca="false">ROUND(I13*Assumptions!B85+E13*Assumptions!B86+W13*Assumptions!B85+ROUND(AB13*Assumptions!B137*Assumptions!B138*Assumptions!B139,0)*Assumptions!B86,0)</f>
        <v>54</v>
      </c>
      <c r="P13" s="39" t="n">
        <f aca="false">K13+L13+M13+N13+O13+X13</f>
        <v>286</v>
      </c>
      <c r="Q13" s="39" t="n">
        <f aca="false">I13-P13</f>
        <v>402</v>
      </c>
      <c r="R13" s="39" t="n">
        <f aca="false">ROUND(AB13*Assumptions!B51*Assumptions!B52,0)</f>
        <v>1396</v>
      </c>
      <c r="S13" s="40" t="n">
        <f aca="false">I13+R13+W13+AC13+AD13</f>
        <v>2240</v>
      </c>
      <c r="T13" s="39" t="n">
        <f aca="false">IF(U13&lt;P13*3,0,IF(U13&lt;P13*6,ROUND((Q13+R13+W13+AC13+AD13)*0.75*Assumptions!B113,0),ROUND((Q13+R13+W13+AC13+AD13)*0.75*Assumptions!B114,0)))</f>
        <v>560</v>
      </c>
      <c r="U13" s="40" t="n">
        <f aca="false">U12+Q13+R13+W13+AC13+AD13</f>
        <v>2487</v>
      </c>
      <c r="V13" s="41" t="str">
        <f aca="false">IF(AB13&gt;=Assumptions!B107,"Signal 6",IF(AB13&gt;=Assumptions!B106,"Signal 5",IF(AB13&gt;=Assumptions!B105,"Signal 4",IF(AB13&gt;=Assumptions!B104,"Signal 3",IF(AB13&gt;=Assumptions!B103,"Signal 2",IF(AB13&gt;=Assumptions!B102,"Signal 1","Pre-Signal 1"))))))</f>
        <v>Pre-Signal 1</v>
      </c>
      <c r="W13" s="39" t="n">
        <f aca="false">ROUND(AB13*Assumptions!B137*Assumptions!B138*Assumptions!B139*Assumptions!B136,0)</f>
        <v>156</v>
      </c>
      <c r="X13" s="39" t="n">
        <f aca="false">ROUND(AB13*Assumptions!B137*Assumptions!B65,0)</f>
        <v>26</v>
      </c>
      <c r="Y13" s="32" t="n">
        <f aca="false">ROUND(Y12*(1+Assumptions!B164),0)</f>
        <v>164</v>
      </c>
      <c r="Z13" s="33" t="n">
        <f aca="false">Assumptions!B154</f>
        <v>25</v>
      </c>
      <c r="AA13" s="32" t="n">
        <f aca="false">ROUND(Y13*Assumptions!B166,0)</f>
        <v>0</v>
      </c>
      <c r="AB13" s="34" t="n">
        <f aca="false">B13+Z13+AA13</f>
        <v>3989.49362985062</v>
      </c>
      <c r="AC13" s="35" t="n">
        <f aca="false">ROUND(IF(A13&gt;=Assumptions!B144,(IF(A13&gt;=25,Assumptions!B151,IF(A13&gt;=16,Assumptions!B150,Assumptions!B149))/1000*Assumptions!B146)+IF(A13&gt;=Assumptions!B145,(IF(A13&gt;=25,Assumptions!B151,IF(A13&gt;=16,Assumptions!B150,Assumptions!B149))*Assumptions!B152/1000*Assumptions!B147),0),0),0)</f>
        <v>0</v>
      </c>
      <c r="AD13" s="35" t="n">
        <f aca="false">IF(Y13&gt;=10000,Assumptions!B170,IF(Y13&gt;=5000,Assumptions!B169,IF(Y13&gt;=2000,Assumptions!B168,IF(Y13&gt;=500,Assumptions!B167,0))))</f>
        <v>0</v>
      </c>
    </row>
    <row r="14" customFormat="false" ht="15" hidden="false" customHeight="false" outlineLevel="0" collapsed="false">
      <c r="A14" s="52" t="n">
        <v>9</v>
      </c>
      <c r="B14" s="53" t="n">
        <f aca="false">B13*(1+Assumptions!B35)</f>
        <v>4559.16767432822</v>
      </c>
      <c r="C14" s="54" t="n">
        <f aca="false">ROUND(AB14*Assumptions!B25,0)</f>
        <v>92</v>
      </c>
      <c r="D14" s="54" t="n">
        <f aca="false">ROUND(AB14*Assumptions!B24,0)</f>
        <v>23</v>
      </c>
      <c r="E14" s="54" t="n">
        <f aca="false">E13+D14-F14</f>
        <v>106</v>
      </c>
      <c r="F14" s="54" t="n">
        <f aca="false">ROUND(E13*Assumptions!B45,0)</f>
        <v>3</v>
      </c>
      <c r="G14" s="54" t="n">
        <f aca="false">D14-F14</f>
        <v>20</v>
      </c>
      <c r="H14" s="55" t="n">
        <f aca="false">ROUND(E14*((Assumptions!B14+Assumptions!B15)/2),0)</f>
        <v>1113</v>
      </c>
      <c r="I14" s="55" t="n">
        <f aca="false">H14</f>
        <v>1113</v>
      </c>
      <c r="J14" s="54" t="n">
        <f aca="false">ROUND(E14*Assumptions!B68,0)</f>
        <v>371</v>
      </c>
      <c r="K14" s="55" t="n">
        <f aca="false">ROUND(J14*Assumptions!B65,0)</f>
        <v>30</v>
      </c>
      <c r="L14" s="55" t="n">
        <f aca="false">Assumptions!B70+IF(E14&gt;Assumptions!B72,45,0)</f>
        <v>31</v>
      </c>
      <c r="M14" s="55" t="n">
        <f aca="false">Assumptions!B76+Assumptions!B77</f>
        <v>35</v>
      </c>
      <c r="N14" s="55" t="n">
        <f aca="false">Assumptions!B81+Assumptions!B82+Assumptions!B87/12+Assumptions!B148</f>
        <v>116</v>
      </c>
      <c r="O14" s="55" t="n">
        <f aca="false">ROUND(I14*Assumptions!B85+E14*Assumptions!B86+W14*Assumptions!B85+ROUND(AB14*Assumptions!B137*Assumptions!B138*Assumptions!B139,0)*Assumptions!B86,0)</f>
        <v>73</v>
      </c>
      <c r="P14" s="55" t="n">
        <f aca="false">K14+L14+M14+N14+O14+X14</f>
        <v>315</v>
      </c>
      <c r="Q14" s="55" t="n">
        <f aca="false">I14-P14</f>
        <v>798</v>
      </c>
      <c r="R14" s="55" t="n">
        <f aca="false">ROUND(AB14*Assumptions!B51*Assumptions!B52,0)</f>
        <v>1617</v>
      </c>
      <c r="S14" s="56" t="n">
        <f aca="false">I14+R14+W14+AC14+AD14</f>
        <v>2910</v>
      </c>
      <c r="T14" s="55" t="n">
        <f aca="false">IF(U14&lt;P14*3,0,IF(U14&lt;P14*6,ROUND((Q14+R14+W14+AC14+AD14)*0.75*Assumptions!B113,0),ROUND((Q14+R14+W14+AC14+AD14)*0.75*Assumptions!B114,0)))</f>
        <v>743</v>
      </c>
      <c r="U14" s="56" t="n">
        <f aca="false">U13+Q14+R14+W14+AC14+AD14</f>
        <v>5082</v>
      </c>
      <c r="V14" s="57" t="str">
        <f aca="false">IF(AB14&gt;=Assumptions!B107,"Signal 6",IF(AB14&gt;=Assumptions!B106,"Signal 5",IF(AB14&gt;=Assumptions!B105,"Signal 4",IF(AB14&gt;=Assumptions!B104,"Signal 3",IF(AB14&gt;=Assumptions!B103,"Signal 2",IF(AB14&gt;=Assumptions!B102,"Signal 1","Pre-Signal 1"))))))</f>
        <v>Pre-Signal 1</v>
      </c>
      <c r="W14" s="55" t="n">
        <f aca="false">ROUND(AB14*Assumptions!B137*Assumptions!B138*Assumptions!B139*Assumptions!B136,0)</f>
        <v>180</v>
      </c>
      <c r="X14" s="55" t="n">
        <f aca="false">ROUND(AB14*Assumptions!B137*Assumptions!B65,0)</f>
        <v>30</v>
      </c>
      <c r="Y14" s="32" t="n">
        <f aca="false">ROUND(Y13*(1+Assumptions!B164),0)</f>
        <v>189</v>
      </c>
      <c r="Z14" s="33" t="n">
        <f aca="false">Assumptions!B155</f>
        <v>60</v>
      </c>
      <c r="AA14" s="32" t="n">
        <f aca="false">ROUND(Y14*Assumptions!B166,0)</f>
        <v>1</v>
      </c>
      <c r="AB14" s="34" t="n">
        <f aca="false">B14+Z14+AA14</f>
        <v>4620.16767432822</v>
      </c>
      <c r="AC14" s="35" t="n">
        <f aca="false">ROUND(IF(A14&gt;=Assumptions!B144,(IF(A14&gt;=25,Assumptions!B151,IF(A14&gt;=16,Assumptions!B150,Assumptions!B149))/1000*Assumptions!B146)+IF(A14&gt;=Assumptions!B145,(IF(A14&gt;=25,Assumptions!B151,IF(A14&gt;=16,Assumptions!B150,Assumptions!B149))*Assumptions!B152/1000*Assumptions!B147),0),0),0)</f>
        <v>0</v>
      </c>
      <c r="AD14" s="35" t="n">
        <f aca="false">IF(Y14&gt;=10000,Assumptions!B170,IF(Y14&gt;=5000,Assumptions!B169,IF(Y14&gt;=2000,Assumptions!B168,IF(Y14&gt;=500,Assumptions!B167,0))))</f>
        <v>0</v>
      </c>
    </row>
    <row r="15" customFormat="false" ht="15" hidden="false" customHeight="false" outlineLevel="0" collapsed="false">
      <c r="A15" s="36" t="n">
        <v>10</v>
      </c>
      <c r="B15" s="37" t="n">
        <f aca="false">B14*(1+Assumptions!B35)</f>
        <v>5243.04282547745</v>
      </c>
      <c r="C15" s="38" t="n">
        <f aca="false">ROUND(AB15*Assumptions!B25,0)</f>
        <v>106</v>
      </c>
      <c r="D15" s="38" t="n">
        <f aca="false">ROUND(AB15*Assumptions!B24,0)</f>
        <v>27</v>
      </c>
      <c r="E15" s="38" t="n">
        <f aca="false">E14+D15-F15</f>
        <v>129</v>
      </c>
      <c r="F15" s="38" t="n">
        <f aca="false">ROUND(E14*Assumptions!B45,0)</f>
        <v>4</v>
      </c>
      <c r="G15" s="38" t="n">
        <f aca="false">D15-F15</f>
        <v>23</v>
      </c>
      <c r="H15" s="39" t="n">
        <f aca="false">ROUND(E15*(Assumptions!B15*0.85+Assumptions!B11*0.15),0)</f>
        <v>1480</v>
      </c>
      <c r="I15" s="39" t="n">
        <f aca="false">H15</f>
        <v>1480</v>
      </c>
      <c r="J15" s="38" t="n">
        <f aca="false">ROUND(E15*Assumptions!B68,0)</f>
        <v>452</v>
      </c>
      <c r="K15" s="39" t="n">
        <f aca="false">ROUND(J15*Assumptions!B65,0)</f>
        <v>36</v>
      </c>
      <c r="L15" s="39" t="n">
        <f aca="false">Assumptions!B70+IF(E15&gt;Assumptions!B72,45,0)</f>
        <v>31</v>
      </c>
      <c r="M15" s="39" t="n">
        <f aca="false">Assumptions!B76+Assumptions!B77</f>
        <v>35</v>
      </c>
      <c r="N15" s="39" t="n">
        <f aca="false">Assumptions!B81+Assumptions!B82+Assumptions!B87/12+Assumptions!B148</f>
        <v>116</v>
      </c>
      <c r="O15" s="39" t="n">
        <f aca="false">ROUND(I15*Assumptions!B85+E15*Assumptions!B86+W15*Assumptions!B85+ROUND(AB15*Assumptions!B137*Assumptions!B138*Assumptions!B139,0)*Assumptions!B86,0)</f>
        <v>92</v>
      </c>
      <c r="P15" s="39" t="n">
        <f aca="false">K15+L15+M15+N15+O15+X15</f>
        <v>344</v>
      </c>
      <c r="Q15" s="39" t="n">
        <f aca="false">I15-P15</f>
        <v>1136</v>
      </c>
      <c r="R15" s="39" t="n">
        <f aca="false">ROUND(AB15*Assumptions!B51*Assumptions!B52,0)</f>
        <v>1856</v>
      </c>
      <c r="S15" s="40" t="n">
        <f aca="false">I15+R15+W15+AC15+AD15</f>
        <v>3543</v>
      </c>
      <c r="T15" s="39" t="n">
        <f aca="false">IF(U15&lt;P15*3,0,IF(U15&lt;P15*6,ROUND((Q15+R15+W15+AC15+AD15)*0.75*Assumptions!B113,0),ROUND((Q15+R15+W15+AC15+AD15)*0.75*Assumptions!B114,0)))</f>
        <v>917</v>
      </c>
      <c r="U15" s="40" t="n">
        <f aca="false">U14+Q15+R15+W15+AC15+AD15</f>
        <v>8281</v>
      </c>
      <c r="V15" s="41" t="str">
        <f aca="false">IF(AB15&gt;=Assumptions!B107,"Signal 6",IF(AB15&gt;=Assumptions!B106,"Signal 5",IF(AB15&gt;=Assumptions!B105,"Signal 4",IF(AB15&gt;=Assumptions!B104,"Signal 3",IF(AB15&gt;=Assumptions!B103,"Signal 2",IF(AB15&gt;=Assumptions!B102,"Signal 1","Pre-Signal 1"))))))</f>
        <v>Pre-Signal 1</v>
      </c>
      <c r="W15" s="39" t="n">
        <f aca="false">ROUND(AB15*Assumptions!B137*Assumptions!B138*Assumptions!B139*Assumptions!B136,0)</f>
        <v>207</v>
      </c>
      <c r="X15" s="39" t="n">
        <f aca="false">ROUND(AB15*Assumptions!B137*Assumptions!B65,0)</f>
        <v>34</v>
      </c>
      <c r="Y15" s="32" t="n">
        <f aca="false">ROUND(Y14*(1+Assumptions!B164),0)</f>
        <v>217</v>
      </c>
      <c r="Z15" s="33" t="n">
        <f aca="false">Assumptions!B155</f>
        <v>60</v>
      </c>
      <c r="AA15" s="32" t="n">
        <f aca="false">ROUND(Y15*Assumptions!B166,0)</f>
        <v>1</v>
      </c>
      <c r="AB15" s="34" t="n">
        <f aca="false">B15+Z15+AA15</f>
        <v>5304.04282547745</v>
      </c>
      <c r="AC15" s="35" t="n">
        <f aca="false">ROUND(IF(A15&gt;=Assumptions!B144,(IF(A15&gt;=25,Assumptions!B151,IF(A15&gt;=16,Assumptions!B150,Assumptions!B149))/1000*Assumptions!B146)+IF(A15&gt;=Assumptions!B145,(IF(A15&gt;=25,Assumptions!B151,IF(A15&gt;=16,Assumptions!B150,Assumptions!B149))*Assumptions!B152/1000*Assumptions!B147),0),0),0)</f>
        <v>0</v>
      </c>
      <c r="AD15" s="35" t="n">
        <f aca="false">IF(Y15&gt;=10000,Assumptions!B170,IF(Y15&gt;=5000,Assumptions!B169,IF(Y15&gt;=2000,Assumptions!B168,IF(Y15&gt;=500,Assumptions!B167,0))))</f>
        <v>0</v>
      </c>
    </row>
    <row r="16" customFormat="false" ht="15" hidden="false" customHeight="false" outlineLevel="0" collapsed="false">
      <c r="A16" s="52" t="n">
        <v>11</v>
      </c>
      <c r="B16" s="53" t="n">
        <f aca="false">B15*(1+Assumptions!B35)</f>
        <v>6029.49924929907</v>
      </c>
      <c r="C16" s="54" t="n">
        <f aca="false">ROUND(AB16*Assumptions!B25,0)</f>
        <v>122</v>
      </c>
      <c r="D16" s="54" t="n">
        <f aca="false">ROUND(AB16*Assumptions!B24,0)</f>
        <v>30</v>
      </c>
      <c r="E16" s="54" t="n">
        <f aca="false">E15+D16-F16</f>
        <v>154</v>
      </c>
      <c r="F16" s="54" t="n">
        <f aca="false">ROUND(E15*Assumptions!B45,0)</f>
        <v>5</v>
      </c>
      <c r="G16" s="54" t="n">
        <f aca="false">D16-F16</f>
        <v>25</v>
      </c>
      <c r="H16" s="55" t="n">
        <f aca="false">ROUND(E16*(Assumptions!B15*0.85+Assumptions!B11*0.15),0)</f>
        <v>1767</v>
      </c>
      <c r="I16" s="55" t="n">
        <f aca="false">H16</f>
        <v>1767</v>
      </c>
      <c r="J16" s="54" t="n">
        <f aca="false">ROUND(E16*Assumptions!B68,0)</f>
        <v>539</v>
      </c>
      <c r="K16" s="55" t="n">
        <f aca="false">ROUND(J16*Assumptions!B65,0)</f>
        <v>43</v>
      </c>
      <c r="L16" s="55" t="n">
        <f aca="false">Assumptions!B70+IF(E16&gt;Assumptions!B72,45,0)</f>
        <v>31</v>
      </c>
      <c r="M16" s="55" t="n">
        <f aca="false">Assumptions!B76+Assumptions!B77</f>
        <v>35</v>
      </c>
      <c r="N16" s="55" t="n">
        <f aca="false">Assumptions!B81+Assumptions!B82+Assumptions!B87/12+Assumptions!B148</f>
        <v>116</v>
      </c>
      <c r="O16" s="55" t="n">
        <f aca="false">ROUND(I16*Assumptions!B85+E16*Assumptions!B86+W16*Assumptions!B85+ROUND(AB16*Assumptions!B137*Assumptions!B138*Assumptions!B139,0)*Assumptions!B86,0)</f>
        <v>110</v>
      </c>
      <c r="P16" s="55" t="n">
        <f aca="false">K16+L16+M16+N16+O16+X16</f>
        <v>374</v>
      </c>
      <c r="Q16" s="55" t="n">
        <f aca="false">I16-P16</f>
        <v>1393</v>
      </c>
      <c r="R16" s="55" t="n">
        <f aca="false">ROUND(AB16*Assumptions!B51*Assumptions!B52,0)</f>
        <v>2132</v>
      </c>
      <c r="S16" s="56" t="n">
        <f aca="false">I16+R16+W16+AC16+AD16</f>
        <v>4137</v>
      </c>
      <c r="T16" s="55" t="n">
        <f aca="false">IF(U16&lt;P16*3,0,IF(U16&lt;P16*6,ROUND((Q16+R16+W16+AC16+AD16)*0.75*Assumptions!B113,0),ROUND((Q16+R16+W16+AC16+AD16)*0.75*Assumptions!B114,0)))</f>
        <v>1078</v>
      </c>
      <c r="U16" s="56" t="n">
        <f aca="false">U15+Q16+R16+W16+AC16+AD16</f>
        <v>12044</v>
      </c>
      <c r="V16" s="57" t="str">
        <f aca="false">IF(AB16&gt;=Assumptions!B107,"Signal 6",IF(AB16&gt;=Assumptions!B106,"Signal 5",IF(AB16&gt;=Assumptions!B105,"Signal 4",IF(AB16&gt;=Assumptions!B104,"Signal 3",IF(AB16&gt;=Assumptions!B103,"Signal 2",IF(AB16&gt;=Assumptions!B102,"Signal 1","Pre-Signal 1"))))))</f>
        <v>Pre-Signal 1</v>
      </c>
      <c r="W16" s="55" t="n">
        <f aca="false">ROUND(AB16*Assumptions!B137*Assumptions!B138*Assumptions!B139*Assumptions!B136,0)</f>
        <v>238</v>
      </c>
      <c r="X16" s="55" t="n">
        <f aca="false">ROUND(AB16*Assumptions!B137*Assumptions!B65,0)</f>
        <v>39</v>
      </c>
      <c r="Y16" s="32" t="n">
        <f aca="false">ROUND(Y15*(1+Assumptions!B164),0)</f>
        <v>250</v>
      </c>
      <c r="Z16" s="33" t="n">
        <f aca="false">Assumptions!B155</f>
        <v>60</v>
      </c>
      <c r="AA16" s="32" t="n">
        <f aca="false">ROUND(Y16*Assumptions!B166,0)</f>
        <v>1</v>
      </c>
      <c r="AB16" s="34" t="n">
        <f aca="false">B16+Z16+AA16</f>
        <v>6090.49924929907</v>
      </c>
      <c r="AC16" s="35" t="n">
        <f aca="false">ROUND(IF(A16&gt;=Assumptions!B144,(IF(A16&gt;=25,Assumptions!B151,IF(A16&gt;=16,Assumptions!B150,Assumptions!B149))/1000*Assumptions!B146)+IF(A16&gt;=Assumptions!B145,(IF(A16&gt;=25,Assumptions!B151,IF(A16&gt;=16,Assumptions!B150,Assumptions!B149))*Assumptions!B152/1000*Assumptions!B147),0),0),0)</f>
        <v>0</v>
      </c>
      <c r="AD16" s="35" t="n">
        <f aca="false">IF(Y16&gt;=10000,Assumptions!B170,IF(Y16&gt;=5000,Assumptions!B169,IF(Y16&gt;=2000,Assumptions!B168,IF(Y16&gt;=500,Assumptions!B167,0))))</f>
        <v>0</v>
      </c>
    </row>
    <row r="17" customFormat="false" ht="15" hidden="false" customHeight="false" outlineLevel="0" collapsed="false">
      <c r="A17" s="36" t="n">
        <v>12</v>
      </c>
      <c r="B17" s="37" t="n">
        <f aca="false">B16*(1+Assumptions!B35)</f>
        <v>6933.92413669392</v>
      </c>
      <c r="C17" s="38" t="n">
        <f aca="false">ROUND(AB17*Assumptions!B25,0)</f>
        <v>141</v>
      </c>
      <c r="D17" s="38" t="n">
        <f aca="false">ROUND(AB17*Assumptions!B24,0)</f>
        <v>35</v>
      </c>
      <c r="E17" s="38" t="n">
        <f aca="false">E16+D17-F17</f>
        <v>183</v>
      </c>
      <c r="F17" s="38" t="n">
        <f aca="false">ROUND(E16*Assumptions!B45,0)</f>
        <v>6</v>
      </c>
      <c r="G17" s="38" t="n">
        <f aca="false">D17-F17</f>
        <v>29</v>
      </c>
      <c r="H17" s="39" t="n">
        <f aca="false">ROUND(E17*(Assumptions!B15*0.85+Assumptions!B11*0.15),0)</f>
        <v>2100</v>
      </c>
      <c r="I17" s="39" t="n">
        <f aca="false">H17</f>
        <v>2100</v>
      </c>
      <c r="J17" s="38" t="n">
        <f aca="false">ROUND(E17*Assumptions!B68,0)</f>
        <v>641</v>
      </c>
      <c r="K17" s="39" t="n">
        <f aca="false">ROUND(J17*Assumptions!B65,0)</f>
        <v>51</v>
      </c>
      <c r="L17" s="39" t="n">
        <f aca="false">Assumptions!B70+IF(E17&gt;Assumptions!B72,45,0)</f>
        <v>31</v>
      </c>
      <c r="M17" s="39" t="n">
        <f aca="false">Assumptions!B76+Assumptions!B77</f>
        <v>35</v>
      </c>
      <c r="N17" s="39" t="n">
        <f aca="false">Assumptions!B81+Assumptions!B82+Assumptions!B87/12+Assumptions!B148</f>
        <v>116</v>
      </c>
      <c r="O17" s="39" t="n">
        <f aca="false">ROUND(I17*Assumptions!B85+E17*Assumptions!B86+W17*Assumptions!B85+ROUND(AB17*Assumptions!B137*Assumptions!B138*Assumptions!B139,0)*Assumptions!B86,0)</f>
        <v>130</v>
      </c>
      <c r="P17" s="39" t="n">
        <f aca="false">K17+L17+M17+N17+O17+X17</f>
        <v>408</v>
      </c>
      <c r="Q17" s="39" t="n">
        <f aca="false">I17-P17</f>
        <v>1692</v>
      </c>
      <c r="R17" s="39" t="n">
        <f aca="false">ROUND(AB17*Assumptions!B51*Assumptions!B52,0)</f>
        <v>2471</v>
      </c>
      <c r="S17" s="40" t="n">
        <f aca="false">I17+R17+W17+AC17+AD17</f>
        <v>4862</v>
      </c>
      <c r="T17" s="39" t="n">
        <f aca="false">IF(U17&lt;P17*3,0,IF(U17&lt;P17*6,ROUND((Q17+R17+W17+AC17+AD17)*0.75*Assumptions!B113,0),ROUND((Q17+R17+W17+AC17+AD17)*0.75*Assumptions!B114,0)))</f>
        <v>1276</v>
      </c>
      <c r="U17" s="40" t="n">
        <f aca="false">U16+Q17+R17+W17+AC17+AD17</f>
        <v>16498</v>
      </c>
      <c r="V17" s="41" t="str">
        <f aca="false">IF(AB17&gt;=Assumptions!B107,"Signal 6",IF(AB17&gt;=Assumptions!B106,"Signal 5",IF(AB17&gt;=Assumptions!B105,"Signal 4",IF(AB17&gt;=Assumptions!B104,"Signal 3",IF(AB17&gt;=Assumptions!B103,"Signal 2",IF(AB17&gt;=Assumptions!B102,"Signal 1","Pre-Signal 1"))))))</f>
        <v>Pre-Signal 1</v>
      </c>
      <c r="W17" s="39" t="n">
        <f aca="false">ROUND(AB17*Assumptions!B137*Assumptions!B138*Assumptions!B139*Assumptions!B136,0)</f>
        <v>275</v>
      </c>
      <c r="X17" s="39" t="n">
        <f aca="false">ROUND(AB17*Assumptions!B137*Assumptions!B65,0)</f>
        <v>45</v>
      </c>
      <c r="Y17" s="32" t="n">
        <f aca="false">ROUND(Y16*(1+Assumptions!B164),0)</f>
        <v>288</v>
      </c>
      <c r="Z17" s="33" t="n">
        <f aca="false">Assumptions!B156</f>
        <v>125</v>
      </c>
      <c r="AA17" s="32" t="n">
        <f aca="false">ROUND(Y17*Assumptions!B166,0)</f>
        <v>1</v>
      </c>
      <c r="AB17" s="34" t="n">
        <f aca="false">B17+Z17+AA17</f>
        <v>7059.92413669392</v>
      </c>
      <c r="AC17" s="35" t="n">
        <f aca="false">ROUND(IF(A17&gt;=Assumptions!B144,(IF(A17&gt;=25,Assumptions!B151,IF(A17&gt;=16,Assumptions!B150,Assumptions!B149))/1000*Assumptions!B146)+IF(A17&gt;=Assumptions!B145,(IF(A17&gt;=25,Assumptions!B151,IF(A17&gt;=16,Assumptions!B150,Assumptions!B149))*Assumptions!B152/1000*Assumptions!B147),0),0),0)</f>
        <v>16</v>
      </c>
      <c r="AD17" s="35" t="n">
        <f aca="false">IF(Y17&gt;=10000,Assumptions!B170,IF(Y17&gt;=5000,Assumptions!B169,IF(Y17&gt;=2000,Assumptions!B168,IF(Y17&gt;=500,Assumptions!B167,0))))</f>
        <v>0</v>
      </c>
    </row>
    <row r="18" customFormat="false" ht="15" hidden="false" customHeight="false" outlineLevel="0" collapsed="false">
      <c r="A18" s="52" t="n">
        <v>13</v>
      </c>
      <c r="B18" s="53" t="n">
        <f aca="false">B17*(1+Assumptions!B35)</f>
        <v>7974.01275719801</v>
      </c>
      <c r="C18" s="54" t="n">
        <f aca="false">ROUND(AB18*Assumptions!B25,0)</f>
        <v>162</v>
      </c>
      <c r="D18" s="54" t="n">
        <f aca="false">ROUND(AB18*Assumptions!B24,0)</f>
        <v>41</v>
      </c>
      <c r="E18" s="54" t="n">
        <f aca="false">E17+D18-F18</f>
        <v>217</v>
      </c>
      <c r="F18" s="54" t="n">
        <f aca="false">ROUND(E17*Assumptions!B45,0)</f>
        <v>7</v>
      </c>
      <c r="G18" s="54" t="n">
        <f aca="false">D18-F18</f>
        <v>34</v>
      </c>
      <c r="H18" s="55" t="n">
        <f aca="false">ROUND(E18*(Assumptions!B15*0.85+Assumptions!B11*0.15),0)</f>
        <v>2490</v>
      </c>
      <c r="I18" s="55" t="n">
        <f aca="false">H18</f>
        <v>2490</v>
      </c>
      <c r="J18" s="54" t="n">
        <f aca="false">ROUND(E18*Assumptions!B68,0)</f>
        <v>760</v>
      </c>
      <c r="K18" s="55" t="n">
        <f aca="false">ROUND(J18*Assumptions!B65,0)</f>
        <v>61</v>
      </c>
      <c r="L18" s="55" t="n">
        <f aca="false">Assumptions!B70+IF(E18&gt;Assumptions!B72,45,0)</f>
        <v>31</v>
      </c>
      <c r="M18" s="55" t="n">
        <f aca="false">Assumptions!B76+Assumptions!B77</f>
        <v>35</v>
      </c>
      <c r="N18" s="55" t="n">
        <f aca="false">Assumptions!B81+Assumptions!B82+Assumptions!B87/12+Assumptions!B148</f>
        <v>116</v>
      </c>
      <c r="O18" s="55" t="n">
        <f aca="false">ROUND(I18*Assumptions!B85+E18*Assumptions!B86+W18*Assumptions!B85+ROUND(AB18*Assumptions!B137*Assumptions!B138*Assumptions!B139,0)*Assumptions!B86,0)</f>
        <v>154</v>
      </c>
      <c r="P18" s="55" t="n">
        <f aca="false">K18+L18+M18+N18+O18+X18</f>
        <v>449</v>
      </c>
      <c r="Q18" s="55" t="n">
        <f aca="false">I18-P18</f>
        <v>2041</v>
      </c>
      <c r="R18" s="55" t="n">
        <f aca="false">ROUND(AB18*Assumptions!B51*Assumptions!B52,0)</f>
        <v>2835</v>
      </c>
      <c r="S18" s="56" t="n">
        <f aca="false">I18+R18+W18+AC18+AD18</f>
        <v>5657</v>
      </c>
      <c r="T18" s="55" t="n">
        <f aca="false">IF(U18&lt;P18*3,0,IF(U18&lt;P18*6,ROUND((Q18+R18+W18+AC18+AD18)*0.75*Assumptions!B113,0),ROUND((Q18+R18+W18+AC18+AD18)*0.75*Assumptions!B114,0)))</f>
        <v>1492</v>
      </c>
      <c r="U18" s="56" t="n">
        <f aca="false">U17+Q18+R18+W18+AC18+AD18</f>
        <v>21706</v>
      </c>
      <c r="V18" s="57" t="str">
        <f aca="false">IF(AB18&gt;=Assumptions!B107,"Signal 6",IF(AB18&gt;=Assumptions!B106,"Signal 5",IF(AB18&gt;=Assumptions!B105,"Signal 4",IF(AB18&gt;=Assumptions!B104,"Signal 3",IF(AB18&gt;=Assumptions!B103,"Signal 2",IF(AB18&gt;=Assumptions!B102,"Signal 1","Pre-Signal 1"))))))</f>
        <v>Pre-Signal 1</v>
      </c>
      <c r="W18" s="55" t="n">
        <f aca="false">ROUND(AB18*Assumptions!B137*Assumptions!B138*Assumptions!B139*Assumptions!B136,0)</f>
        <v>316</v>
      </c>
      <c r="X18" s="55" t="n">
        <f aca="false">ROUND(AB18*Assumptions!B137*Assumptions!B65,0)</f>
        <v>52</v>
      </c>
      <c r="Y18" s="32" t="n">
        <f aca="false">ROUND(Y17*(1+Assumptions!B165),0)</f>
        <v>317</v>
      </c>
      <c r="Z18" s="33" t="n">
        <f aca="false">Assumptions!B156</f>
        <v>125</v>
      </c>
      <c r="AA18" s="32" t="n">
        <f aca="false">ROUND(Y18*Assumptions!B166,0)</f>
        <v>1</v>
      </c>
      <c r="AB18" s="34" t="n">
        <f aca="false">B18+Z18+AA18</f>
        <v>8100.01275719801</v>
      </c>
      <c r="AC18" s="35" t="n">
        <f aca="false">ROUND(IF(A18&gt;=Assumptions!B144,(IF(A18&gt;=25,Assumptions!B151,IF(A18&gt;=16,Assumptions!B150,Assumptions!B149))/1000*Assumptions!B146)+IF(A18&gt;=Assumptions!B145,(IF(A18&gt;=25,Assumptions!B151,IF(A18&gt;=16,Assumptions!B150,Assumptions!B149))*Assumptions!B152/1000*Assumptions!B147),0),0),0)</f>
        <v>16</v>
      </c>
      <c r="AD18" s="35" t="n">
        <f aca="false">IF(Y18&gt;=10000,Assumptions!B170,IF(Y18&gt;=5000,Assumptions!B169,IF(Y18&gt;=2000,Assumptions!B168,IF(Y18&gt;=500,Assumptions!B167,0))))</f>
        <v>0</v>
      </c>
    </row>
    <row r="19" customFormat="false" ht="15" hidden="false" customHeight="false" outlineLevel="0" collapsed="false">
      <c r="A19" s="36" t="n">
        <v>14</v>
      </c>
      <c r="B19" s="37" t="n">
        <f aca="false">B18*(1+Assumptions!B35)</f>
        <v>9170.11467077771</v>
      </c>
      <c r="C19" s="38" t="n">
        <f aca="false">ROUND(AB19*Assumptions!B25,0)</f>
        <v>186</v>
      </c>
      <c r="D19" s="38" t="n">
        <f aca="false">ROUND(AB19*Assumptions!B24,0)</f>
        <v>46</v>
      </c>
      <c r="E19" s="38" t="n">
        <f aca="false">E18+D19-F19</f>
        <v>254</v>
      </c>
      <c r="F19" s="38" t="n">
        <f aca="false">ROUND(E18*Assumptions!B45,0)</f>
        <v>9</v>
      </c>
      <c r="G19" s="38" t="n">
        <f aca="false">D19-F19</f>
        <v>37</v>
      </c>
      <c r="H19" s="39" t="n">
        <f aca="false">ROUND(E19*(Assumptions!B15*0.85+Assumptions!B11*0.15),0)</f>
        <v>2915</v>
      </c>
      <c r="I19" s="39" t="n">
        <f aca="false">H19</f>
        <v>2915</v>
      </c>
      <c r="J19" s="38" t="n">
        <f aca="false">ROUND(E19*Assumptions!B68,0)</f>
        <v>889</v>
      </c>
      <c r="K19" s="39" t="n">
        <f aca="false">ROUND(J19*Assumptions!B65,0)</f>
        <v>71</v>
      </c>
      <c r="L19" s="39" t="n">
        <f aca="false">Assumptions!B70+IF(E19&gt;Assumptions!B72,45,0)</f>
        <v>31</v>
      </c>
      <c r="M19" s="39" t="n">
        <f aca="false">Assumptions!B76+Assumptions!B77</f>
        <v>35</v>
      </c>
      <c r="N19" s="39" t="n">
        <f aca="false">Assumptions!B81+Assumptions!B82+Assumptions!B87/12+Assumptions!B148</f>
        <v>116</v>
      </c>
      <c r="O19" s="39" t="n">
        <f aca="false">ROUND(I19*Assumptions!B85+E19*Assumptions!B86+W19*Assumptions!B85+ROUND(AB19*Assumptions!B137*Assumptions!B138*Assumptions!B139,0)*Assumptions!B86,0)</f>
        <v>180</v>
      </c>
      <c r="P19" s="39" t="n">
        <f aca="false">K19+L19+M19+N19+O19+X19</f>
        <v>492</v>
      </c>
      <c r="Q19" s="39" t="n">
        <f aca="false">I19-P19</f>
        <v>2423</v>
      </c>
      <c r="R19" s="39" t="n">
        <f aca="false">ROUND(AB19*Assumptions!B51*Assumptions!B52,0)</f>
        <v>3254</v>
      </c>
      <c r="S19" s="40" t="n">
        <f aca="false">I19+R19+W19+AC19+AD19</f>
        <v>6548</v>
      </c>
      <c r="T19" s="39" t="n">
        <f aca="false">IF(U19&lt;P19*3,0,IF(U19&lt;P19*6,ROUND((Q19+R19+W19+AC19+AD19)*0.75*Assumptions!B113,0),ROUND((Q19+R19+W19+AC19+AD19)*0.75*Assumptions!B114,0)))</f>
        <v>1735</v>
      </c>
      <c r="U19" s="40" t="n">
        <f aca="false">U18+Q19+R19+W19+AC19+AD19</f>
        <v>27762</v>
      </c>
      <c r="V19" s="41" t="str">
        <f aca="false">IF(AB19&gt;=Assumptions!B107,"Signal 6",IF(AB19&gt;=Assumptions!B106,"Signal 5",IF(AB19&gt;=Assumptions!B105,"Signal 4",IF(AB19&gt;=Assumptions!B104,"Signal 3",IF(AB19&gt;=Assumptions!B103,"Signal 2",IF(AB19&gt;=Assumptions!B102,"Signal 1","Pre-Signal 1"))))))</f>
        <v>Pre-Signal 1</v>
      </c>
      <c r="W19" s="39" t="n">
        <f aca="false">ROUND(AB19*Assumptions!B137*Assumptions!B138*Assumptions!B139*Assumptions!B136,0)</f>
        <v>363</v>
      </c>
      <c r="X19" s="39" t="n">
        <f aca="false">ROUND(AB19*Assumptions!B137*Assumptions!B65,0)</f>
        <v>59</v>
      </c>
      <c r="Y19" s="32" t="n">
        <f aca="false">ROUND(Y18*(1+Assumptions!B165),0)</f>
        <v>349</v>
      </c>
      <c r="Z19" s="33" t="n">
        <f aca="false">Assumptions!B156</f>
        <v>125</v>
      </c>
      <c r="AA19" s="32" t="n">
        <f aca="false">ROUND(Y19*Assumptions!B166,0)</f>
        <v>1</v>
      </c>
      <c r="AB19" s="34" t="n">
        <f aca="false">B19+Z19+AA19</f>
        <v>9296.11467077771</v>
      </c>
      <c r="AC19" s="35" t="n">
        <f aca="false">ROUND(IF(A19&gt;=Assumptions!B144,(IF(A19&gt;=25,Assumptions!B151,IF(A19&gt;=16,Assumptions!B150,Assumptions!B149))/1000*Assumptions!B146)+IF(A19&gt;=Assumptions!B145,(IF(A19&gt;=25,Assumptions!B151,IF(A19&gt;=16,Assumptions!B150,Assumptions!B149))*Assumptions!B152/1000*Assumptions!B147),0),0),0)</f>
        <v>16</v>
      </c>
      <c r="AD19" s="35" t="n">
        <f aca="false">IF(Y19&gt;=10000,Assumptions!B170,IF(Y19&gt;=5000,Assumptions!B169,IF(Y19&gt;=2000,Assumptions!B168,IF(Y19&gt;=500,Assumptions!B167,0))))</f>
        <v>0</v>
      </c>
    </row>
    <row r="20" customFormat="false" ht="15" hidden="false" customHeight="false" outlineLevel="0" collapsed="false">
      <c r="A20" s="52" t="n">
        <v>15</v>
      </c>
      <c r="B20" s="53" t="n">
        <f aca="false">B19*(1+Assumptions!B35)</f>
        <v>10545.6318713944</v>
      </c>
      <c r="C20" s="54" t="n">
        <f aca="false">ROUND(AB20*Assumptions!B25,0)</f>
        <v>213</v>
      </c>
      <c r="D20" s="54" t="n">
        <f aca="false">ROUND(AB20*Assumptions!B24,0)</f>
        <v>53</v>
      </c>
      <c r="E20" s="54" t="n">
        <f aca="false">E19+D20-F20</f>
        <v>297</v>
      </c>
      <c r="F20" s="54" t="n">
        <f aca="false">ROUND(E19*Assumptions!B45,0)</f>
        <v>10</v>
      </c>
      <c r="G20" s="54" t="n">
        <f aca="false">D20-F20</f>
        <v>43</v>
      </c>
      <c r="H20" s="55" t="n">
        <f aca="false">ROUND(E20*(Assumptions!B15*0.85+Assumptions!B11*0.15),0)</f>
        <v>3408</v>
      </c>
      <c r="I20" s="55" t="n">
        <f aca="false">H20</f>
        <v>3408</v>
      </c>
      <c r="J20" s="54" t="n">
        <f aca="false">ROUND(E20*Assumptions!B68,0)</f>
        <v>1040</v>
      </c>
      <c r="K20" s="55" t="n">
        <f aca="false">ROUND(J20*Assumptions!B65,0)</f>
        <v>83</v>
      </c>
      <c r="L20" s="55" t="n">
        <f aca="false">Assumptions!B70+IF(E20&gt;Assumptions!B72,45,0)</f>
        <v>31</v>
      </c>
      <c r="M20" s="55" t="n">
        <f aca="false">Assumptions!B76+Assumptions!B77</f>
        <v>35</v>
      </c>
      <c r="N20" s="55" t="n">
        <f aca="false">Assumptions!B81+Assumptions!B82+Assumptions!B87/12+Assumptions!B148</f>
        <v>116</v>
      </c>
      <c r="O20" s="55" t="n">
        <f aca="false">ROUND(I20*Assumptions!B85+E20*Assumptions!B86+W20*Assumptions!B85+ROUND(AB20*Assumptions!B137*Assumptions!B138*Assumptions!B139,0)*Assumptions!B86,0)</f>
        <v>210</v>
      </c>
      <c r="P20" s="55" t="n">
        <f aca="false">K20+L20+M20+N20+O20+X20</f>
        <v>543</v>
      </c>
      <c r="Q20" s="55" t="n">
        <f aca="false">I20-P20</f>
        <v>2865</v>
      </c>
      <c r="R20" s="55" t="n">
        <f aca="false">ROUND(AB20*Assumptions!B51*Assumptions!B52,0)</f>
        <v>3735</v>
      </c>
      <c r="S20" s="56" t="n">
        <f aca="false">I20+R20+W20+AC20+AD20</f>
        <v>7575</v>
      </c>
      <c r="T20" s="55" t="n">
        <f aca="false">IF(U20&lt;P20*3,0,IF(U20&lt;P20*6,ROUND((Q20+R20+W20+AC20+AD20)*0.75*Assumptions!B113,0),ROUND((Q20+R20+W20+AC20+AD20)*0.75*Assumptions!B114,0)))</f>
        <v>2015</v>
      </c>
      <c r="U20" s="56" t="n">
        <f aca="false">U19+Q20+R20+W20+AC20+AD20</f>
        <v>34794</v>
      </c>
      <c r="V20" s="57" t="str">
        <f aca="false">IF(AB20&gt;=Assumptions!B107,"Signal 6",IF(AB20&gt;=Assumptions!B106,"Signal 5",IF(AB20&gt;=Assumptions!B105,"Signal 4",IF(AB20&gt;=Assumptions!B104,"Signal 3",IF(AB20&gt;=Assumptions!B103,"Signal 2",IF(AB20&gt;=Assumptions!B102,"Signal 1","Pre-Signal 1"))))))</f>
        <v>Signal 1</v>
      </c>
      <c r="W20" s="55" t="n">
        <f aca="false">ROUND(AB20*Assumptions!B137*Assumptions!B138*Assumptions!B139*Assumptions!B136,0)</f>
        <v>416</v>
      </c>
      <c r="X20" s="55" t="n">
        <f aca="false">ROUND(AB20*Assumptions!B137*Assumptions!B65,0)</f>
        <v>68</v>
      </c>
      <c r="Y20" s="32" t="n">
        <f aca="false">ROUND(Y19*(1+Assumptions!B165),0)</f>
        <v>384</v>
      </c>
      <c r="Z20" s="33" t="n">
        <f aca="false">Assumptions!B156</f>
        <v>125</v>
      </c>
      <c r="AA20" s="32" t="n">
        <f aca="false">ROUND(Y20*Assumptions!B166,0)</f>
        <v>1</v>
      </c>
      <c r="AB20" s="34" t="n">
        <f aca="false">B20+Z20+AA20</f>
        <v>10671.6318713944</v>
      </c>
      <c r="AC20" s="35" t="n">
        <f aca="false">ROUND(IF(A20&gt;=Assumptions!B144,(IF(A20&gt;=25,Assumptions!B151,IF(A20&gt;=16,Assumptions!B150,Assumptions!B149))/1000*Assumptions!B146)+IF(A20&gt;=Assumptions!B145,(IF(A20&gt;=25,Assumptions!B151,IF(A20&gt;=16,Assumptions!B150,Assumptions!B149))*Assumptions!B152/1000*Assumptions!B147),0),0),0)</f>
        <v>16</v>
      </c>
      <c r="AD20" s="35" t="n">
        <f aca="false">IF(Y20&gt;=10000,Assumptions!B170,IF(Y20&gt;=5000,Assumptions!B169,IF(Y20&gt;=2000,Assumptions!B168,IF(Y20&gt;=500,Assumptions!B167,0))))</f>
        <v>0</v>
      </c>
    </row>
    <row r="21" customFormat="false" ht="15" hidden="false" customHeight="false" outlineLevel="0" collapsed="false">
      <c r="A21" s="36" t="n">
        <v>16</v>
      </c>
      <c r="B21" s="37" t="n">
        <f aca="false">B20*(1+Assumptions!B35)</f>
        <v>12127.4766521035</v>
      </c>
      <c r="C21" s="38" t="n">
        <f aca="false">ROUND(AB21*Assumptions!B25,0)</f>
        <v>248</v>
      </c>
      <c r="D21" s="38" t="n">
        <f aca="false">ROUND(AB21*Assumptions!B24,0)</f>
        <v>62</v>
      </c>
      <c r="E21" s="38" t="n">
        <f aca="false">E20+D21-F21</f>
        <v>347</v>
      </c>
      <c r="F21" s="38" t="n">
        <f aca="false">ROUND(E20*Assumptions!B45,0)</f>
        <v>12</v>
      </c>
      <c r="G21" s="38" t="n">
        <f aca="false">D21-F21</f>
        <v>50</v>
      </c>
      <c r="H21" s="39" t="n">
        <f aca="false">ROUND(E21*(Assumptions!B15*0.85+Assumptions!B11*0.15),0)</f>
        <v>3982</v>
      </c>
      <c r="I21" s="39" t="n">
        <f aca="false">H21</f>
        <v>3982</v>
      </c>
      <c r="J21" s="38" t="n">
        <f aca="false">ROUND(E21*Assumptions!B68,0)</f>
        <v>1215</v>
      </c>
      <c r="K21" s="39" t="n">
        <f aca="false">ROUND(J21*Assumptions!B65,0)</f>
        <v>97</v>
      </c>
      <c r="L21" s="39" t="n">
        <f aca="false">Assumptions!B70+IF(E21&gt;Assumptions!B72,45,0)</f>
        <v>31</v>
      </c>
      <c r="M21" s="39" t="n">
        <f aca="false">Assumptions!B76+Assumptions!B77</f>
        <v>35</v>
      </c>
      <c r="N21" s="39" t="n">
        <f aca="false">Assumptions!B81+Assumptions!B82+Assumptions!B87/12+Assumptions!B148</f>
        <v>116</v>
      </c>
      <c r="O21" s="39" t="n">
        <f aca="false">ROUND(I21*Assumptions!B85+E21*Assumptions!B86+W21*Assumptions!B85+ROUND(AB21*Assumptions!B137*Assumptions!B138*Assumptions!B139,0)*Assumptions!B86,0)</f>
        <v>245</v>
      </c>
      <c r="P21" s="39" t="n">
        <f aca="false">K21+L21+M21+N21+O21+X21</f>
        <v>603</v>
      </c>
      <c r="Q21" s="39" t="n">
        <f aca="false">I21-P21</f>
        <v>3379</v>
      </c>
      <c r="R21" s="39" t="n">
        <f aca="false">ROUND(AB21*Assumptions!B51*Assumptions!B52,0)</f>
        <v>4332</v>
      </c>
      <c r="S21" s="40" t="n">
        <f aca="false">I21+R21+W21+AC21+AD21</f>
        <v>8840</v>
      </c>
      <c r="T21" s="39" t="n">
        <f aca="false">IF(U21&lt;P21*3,0,IF(U21&lt;P21*6,ROUND((Q21+R21+W21+AC21+AD21)*0.75*Assumptions!B113,0),ROUND((Q21+R21+W21+AC21+AD21)*0.75*Assumptions!B114,0)))</f>
        <v>2360</v>
      </c>
      <c r="U21" s="40" t="n">
        <f aca="false">U20+Q21+R21+W21+AC21+AD21</f>
        <v>43031</v>
      </c>
      <c r="V21" s="41" t="str">
        <f aca="false">IF(AB21&gt;=Assumptions!B107,"Signal 6",IF(AB21&gt;=Assumptions!B106,"Signal 5",IF(AB21&gt;=Assumptions!B105,"Signal 4",IF(AB21&gt;=Assumptions!B104,"Signal 3",IF(AB21&gt;=Assumptions!B103,"Signal 2",IF(AB21&gt;=Assumptions!B102,"Signal 1","Pre-Signal 1"))))))</f>
        <v>Signal 1</v>
      </c>
      <c r="W21" s="39" t="n">
        <f aca="false">ROUND(AB21*Assumptions!B137*Assumptions!B138*Assumptions!B139*Assumptions!B136,0)</f>
        <v>483</v>
      </c>
      <c r="X21" s="39" t="n">
        <f aca="false">ROUND(AB21*Assumptions!B137*Assumptions!B65,0)</f>
        <v>79</v>
      </c>
      <c r="Y21" s="32" t="n">
        <f aca="false">ROUND(Y20*(1+Assumptions!B165),0)</f>
        <v>422</v>
      </c>
      <c r="Z21" s="33" t="n">
        <f aca="false">Assumptions!B157</f>
        <v>250</v>
      </c>
      <c r="AA21" s="32" t="n">
        <f aca="false">ROUND(Y21*Assumptions!B166,0)</f>
        <v>1</v>
      </c>
      <c r="AB21" s="34" t="n">
        <f aca="false">B21+Z21+AA21</f>
        <v>12378.4766521035</v>
      </c>
      <c r="AC21" s="35" t="n">
        <f aca="false">ROUND(IF(A21&gt;=Assumptions!B144,(IF(A21&gt;=25,Assumptions!B151,IF(A21&gt;=16,Assumptions!B150,Assumptions!B149))/1000*Assumptions!B146)+IF(A21&gt;=Assumptions!B145,(IF(A21&gt;=25,Assumptions!B151,IF(A21&gt;=16,Assumptions!B150,Assumptions!B149))*Assumptions!B152/1000*Assumptions!B147),0),0),0)</f>
        <v>43</v>
      </c>
      <c r="AD21" s="35" t="n">
        <f aca="false">IF(Y21&gt;=10000,Assumptions!B170,IF(Y21&gt;=5000,Assumptions!B169,IF(Y21&gt;=2000,Assumptions!B168,IF(Y21&gt;=500,Assumptions!B167,0))))</f>
        <v>0</v>
      </c>
    </row>
    <row r="22" customFormat="false" ht="15" hidden="false" customHeight="false" outlineLevel="0" collapsed="false">
      <c r="A22" s="52" t="n">
        <v>17</v>
      </c>
      <c r="B22" s="53" t="n">
        <f aca="false">B21*(1+Assumptions!B35)</f>
        <v>13946.5981499191</v>
      </c>
      <c r="C22" s="54" t="n">
        <f aca="false">ROUND(AB22*Assumptions!B25,0)</f>
        <v>284</v>
      </c>
      <c r="D22" s="54" t="n">
        <f aca="false">ROUND(AB22*Assumptions!B24,0)</f>
        <v>71</v>
      </c>
      <c r="E22" s="54" t="n">
        <f aca="false">E21+D22-F22</f>
        <v>404</v>
      </c>
      <c r="F22" s="54" t="n">
        <f aca="false">ROUND(E21*Assumptions!B45,0)</f>
        <v>14</v>
      </c>
      <c r="G22" s="54" t="n">
        <f aca="false">D22-F22</f>
        <v>57</v>
      </c>
      <c r="H22" s="55" t="n">
        <f aca="false">ROUND(E22*(Assumptions!B15*0.85+Assumptions!B11*0.15),0)</f>
        <v>4636</v>
      </c>
      <c r="I22" s="55" t="n">
        <f aca="false">H22</f>
        <v>4636</v>
      </c>
      <c r="J22" s="54" t="n">
        <f aca="false">ROUND(E22*Assumptions!B68,0)</f>
        <v>1414</v>
      </c>
      <c r="K22" s="55" t="n">
        <f aca="false">ROUND(J22*Assumptions!B65,0)</f>
        <v>113</v>
      </c>
      <c r="L22" s="55" t="n">
        <f aca="false">Assumptions!B70+IF(E22&gt;Assumptions!B72,45,0)</f>
        <v>31</v>
      </c>
      <c r="M22" s="55" t="n">
        <f aca="false">Assumptions!B76+Assumptions!B77</f>
        <v>35</v>
      </c>
      <c r="N22" s="55" t="n">
        <f aca="false">Assumptions!B81+Assumptions!B82+Assumptions!B87/12+Assumptions!B148</f>
        <v>116</v>
      </c>
      <c r="O22" s="55" t="n">
        <f aca="false">ROUND(I22*Assumptions!B85+E22*Assumptions!B86+W22*Assumptions!B85+ROUND(AB22*Assumptions!B137*Assumptions!B138*Assumptions!B139,0)*Assumptions!B86,0)</f>
        <v>285</v>
      </c>
      <c r="P22" s="55" t="n">
        <f aca="false">K22+L22+M22+N22+O22+X22</f>
        <v>671</v>
      </c>
      <c r="Q22" s="55" t="n">
        <f aca="false">I22-P22</f>
        <v>3965</v>
      </c>
      <c r="R22" s="55" t="n">
        <f aca="false">ROUND(AB22*Assumptions!B51*Assumptions!B52,0)</f>
        <v>4969</v>
      </c>
      <c r="S22" s="56" t="n">
        <f aca="false">I22+R22+W22+AC22+AD22</f>
        <v>10202</v>
      </c>
      <c r="T22" s="55" t="n">
        <f aca="false">IF(U22&lt;P22*3,0,IF(U22&lt;P22*6,ROUND((Q22+R22+W22+AC22+AD22)*0.75*Assumptions!B113,0),ROUND((Q22+R22+W22+AC22+AD22)*0.75*Assumptions!B114,0)))</f>
        <v>2731</v>
      </c>
      <c r="U22" s="56" t="n">
        <f aca="false">U21+Q22+R22+W22+AC22+AD22</f>
        <v>52562</v>
      </c>
      <c r="V22" s="57" t="str">
        <f aca="false">IF(AB22&gt;=Assumptions!B107,"Signal 6",IF(AB22&gt;=Assumptions!B106,"Signal 5",IF(AB22&gt;=Assumptions!B105,"Signal 4",IF(AB22&gt;=Assumptions!B104,"Signal 3",IF(AB22&gt;=Assumptions!B103,"Signal 2",IF(AB22&gt;=Assumptions!B102,"Signal 1","Pre-Signal 1"))))))</f>
        <v>Signal 1</v>
      </c>
      <c r="W22" s="55" t="n">
        <f aca="false">ROUND(AB22*Assumptions!B137*Assumptions!B138*Assumptions!B139*Assumptions!B136,0)</f>
        <v>554</v>
      </c>
      <c r="X22" s="55" t="n">
        <f aca="false">ROUND(AB22*Assumptions!B137*Assumptions!B65,0)</f>
        <v>91</v>
      </c>
      <c r="Y22" s="32" t="n">
        <f aca="false">ROUND(Y21*(1+Assumptions!B165),0)</f>
        <v>464</v>
      </c>
      <c r="Z22" s="33" t="n">
        <f aca="false">Assumptions!B157</f>
        <v>250</v>
      </c>
      <c r="AA22" s="32" t="n">
        <f aca="false">ROUND(Y22*Assumptions!B166,0)</f>
        <v>1</v>
      </c>
      <c r="AB22" s="34" t="n">
        <f aca="false">B22+Z22+AA22</f>
        <v>14197.5981499191</v>
      </c>
      <c r="AC22" s="35" t="n">
        <f aca="false">ROUND(IF(A22&gt;=Assumptions!B144,(IF(A22&gt;=25,Assumptions!B151,IF(A22&gt;=16,Assumptions!B150,Assumptions!B149))/1000*Assumptions!B146)+IF(A22&gt;=Assumptions!B145,(IF(A22&gt;=25,Assumptions!B151,IF(A22&gt;=16,Assumptions!B150,Assumptions!B149))*Assumptions!B152/1000*Assumptions!B147),0),0),0)</f>
        <v>43</v>
      </c>
      <c r="AD22" s="35" t="n">
        <f aca="false">IF(Y22&gt;=10000,Assumptions!B170,IF(Y22&gt;=5000,Assumptions!B169,IF(Y22&gt;=2000,Assumptions!B168,IF(Y22&gt;=500,Assumptions!B167,0))))</f>
        <v>0</v>
      </c>
    </row>
    <row r="23" customFormat="false" ht="15" hidden="false" customHeight="false" outlineLevel="0" collapsed="false">
      <c r="A23" s="36" t="n">
        <v>18</v>
      </c>
      <c r="B23" s="37" t="n">
        <f aca="false">B22*(1+Assumptions!B35)</f>
        <v>16038.5878724069</v>
      </c>
      <c r="C23" s="38" t="n">
        <f aca="false">ROUND(AB23*Assumptions!B25,0)</f>
        <v>326</v>
      </c>
      <c r="D23" s="38" t="n">
        <f aca="false">ROUND(AB23*Assumptions!B24,0)</f>
        <v>81</v>
      </c>
      <c r="E23" s="38" t="n">
        <f aca="false">E22+D23-F23</f>
        <v>469</v>
      </c>
      <c r="F23" s="38" t="n">
        <f aca="false">ROUND(E22*Assumptions!B45,0)</f>
        <v>16</v>
      </c>
      <c r="G23" s="38" t="n">
        <f aca="false">D23-F23</f>
        <v>65</v>
      </c>
      <c r="H23" s="39" t="n">
        <f aca="false">ROUND(E23*(Assumptions!B15*0.85+Assumptions!B11*0.15),0)</f>
        <v>5382</v>
      </c>
      <c r="I23" s="39" t="n">
        <f aca="false">H23</f>
        <v>5382</v>
      </c>
      <c r="J23" s="38" t="n">
        <f aca="false">ROUND(E23*Assumptions!B68,0)</f>
        <v>1642</v>
      </c>
      <c r="K23" s="39" t="n">
        <f aca="false">ROUND(J23*Assumptions!B65,0)</f>
        <v>131</v>
      </c>
      <c r="L23" s="39" t="n">
        <f aca="false">Assumptions!B70+IF(E23&gt;Assumptions!B72,45,0)</f>
        <v>31</v>
      </c>
      <c r="M23" s="39" t="n">
        <f aca="false">Assumptions!B76+Assumptions!B77</f>
        <v>35</v>
      </c>
      <c r="N23" s="39" t="n">
        <f aca="false">Assumptions!B81+Assumptions!B82+Assumptions!B87/12+Assumptions!B148</f>
        <v>116</v>
      </c>
      <c r="O23" s="39" t="n">
        <f aca="false">ROUND(I23*Assumptions!B85+E23*Assumptions!B86+W23*Assumptions!B85+ROUND(AB23*Assumptions!B137*Assumptions!B138*Assumptions!B139,0)*Assumptions!B86,0)</f>
        <v>330</v>
      </c>
      <c r="P23" s="39" t="n">
        <f aca="false">K23+L23+M23+N23+O23+X23</f>
        <v>747</v>
      </c>
      <c r="Q23" s="39" t="n">
        <f aca="false">I23-P23</f>
        <v>4635</v>
      </c>
      <c r="R23" s="39" t="n">
        <f aca="false">ROUND(AB23*Assumptions!B51*Assumptions!B52,0)</f>
        <v>5702</v>
      </c>
      <c r="S23" s="40" t="n">
        <f aca="false">I23+R23+W23+AC23+AD23</f>
        <v>11767</v>
      </c>
      <c r="T23" s="39" t="n">
        <f aca="false">IF(U23&lt;P23*3,0,IF(U23&lt;P23*6,ROUND((Q23+R23+W23+AC23+AD23)*0.75*Assumptions!B113,0),ROUND((Q23+R23+W23+AC23+AD23)*0.75*Assumptions!B114,0)))</f>
        <v>3157</v>
      </c>
      <c r="U23" s="40" t="n">
        <f aca="false">U22+Q23+R23+W23+AC23+AD23</f>
        <v>63582</v>
      </c>
      <c r="V23" s="41" t="str">
        <f aca="false">IF(AB23&gt;=Assumptions!B107,"Signal 6",IF(AB23&gt;=Assumptions!B106,"Signal 5",IF(AB23&gt;=Assumptions!B105,"Signal 4",IF(AB23&gt;=Assumptions!B104,"Signal 3",IF(AB23&gt;=Assumptions!B103,"Signal 2",IF(AB23&gt;=Assumptions!B102,"Signal 1","Pre-Signal 1"))))))</f>
        <v>Signal 1</v>
      </c>
      <c r="W23" s="39" t="n">
        <f aca="false">ROUND(AB23*Assumptions!B137*Assumptions!B138*Assumptions!B139*Assumptions!B136,0)</f>
        <v>635</v>
      </c>
      <c r="X23" s="39" t="n">
        <f aca="false">ROUND(AB23*Assumptions!B137*Assumptions!B65,0)</f>
        <v>104</v>
      </c>
      <c r="Y23" s="32" t="n">
        <f aca="false">ROUND(Y22*(1+Assumptions!B165),0)</f>
        <v>510</v>
      </c>
      <c r="Z23" s="33" t="n">
        <f aca="false">Assumptions!B157</f>
        <v>250</v>
      </c>
      <c r="AA23" s="32" t="n">
        <f aca="false">ROUND(Y23*Assumptions!B166,0)</f>
        <v>2</v>
      </c>
      <c r="AB23" s="34" t="n">
        <f aca="false">B23+Z23+AA23</f>
        <v>16290.5878724069</v>
      </c>
      <c r="AC23" s="35" t="n">
        <f aca="false">ROUND(IF(A23&gt;=Assumptions!B144,(IF(A23&gt;=25,Assumptions!B151,IF(A23&gt;=16,Assumptions!B150,Assumptions!B149))/1000*Assumptions!B146)+IF(A23&gt;=Assumptions!B145,(IF(A23&gt;=25,Assumptions!B151,IF(A23&gt;=16,Assumptions!B150,Assumptions!B149))*Assumptions!B152/1000*Assumptions!B147),0),0),0)</f>
        <v>43</v>
      </c>
      <c r="AD23" s="35" t="n">
        <f aca="false">IF(Y23&gt;=10000,Assumptions!B170,IF(Y23&gt;=5000,Assumptions!B169,IF(Y23&gt;=2000,Assumptions!B168,IF(Y23&gt;=500,Assumptions!B167,0))))</f>
        <v>5</v>
      </c>
    </row>
    <row r="24" customFormat="false" ht="15" hidden="false" customHeight="false" outlineLevel="0" collapsed="false">
      <c r="A24" s="52" t="n">
        <v>19</v>
      </c>
      <c r="B24" s="53" t="n">
        <f aca="false">B23*(1+Assumptions!B35)</f>
        <v>18444.3760532679</v>
      </c>
      <c r="C24" s="54" t="n">
        <f aca="false">ROUND(AB24*Assumptions!B25,0)</f>
        <v>374</v>
      </c>
      <c r="D24" s="54" t="n">
        <f aca="false">ROUND(AB24*Assumptions!B24,0)</f>
        <v>93</v>
      </c>
      <c r="E24" s="54" t="n">
        <f aca="false">E23+D24-F24</f>
        <v>543</v>
      </c>
      <c r="F24" s="54" t="n">
        <f aca="false">ROUND(E23*Assumptions!B45,0)</f>
        <v>19</v>
      </c>
      <c r="G24" s="54" t="n">
        <f aca="false">D24-F24</f>
        <v>74</v>
      </c>
      <c r="H24" s="55" t="n">
        <f aca="false">ROUND(E24*(Assumptions!B15*0.85+Assumptions!B11*0.15),0)</f>
        <v>6231</v>
      </c>
      <c r="I24" s="55" t="n">
        <f aca="false">H24</f>
        <v>6231</v>
      </c>
      <c r="J24" s="54" t="n">
        <f aca="false">ROUND(E24*Assumptions!B68,0)</f>
        <v>1901</v>
      </c>
      <c r="K24" s="55" t="n">
        <f aca="false">ROUND(J24*Assumptions!B65,0)</f>
        <v>152</v>
      </c>
      <c r="L24" s="55" t="n">
        <f aca="false">Assumptions!B70+IF(E24&gt;Assumptions!B72,45,0)</f>
        <v>76</v>
      </c>
      <c r="M24" s="55" t="n">
        <f aca="false">Assumptions!B76+Assumptions!B77</f>
        <v>35</v>
      </c>
      <c r="N24" s="55" t="n">
        <f aca="false">Assumptions!B81+Assumptions!B82+Assumptions!B87/12+Assumptions!B148</f>
        <v>116</v>
      </c>
      <c r="O24" s="55" t="n">
        <f aca="false">ROUND(I24*Assumptions!B85+E24*Assumptions!B86+W24*Assumptions!B85+ROUND(AB24*Assumptions!B137*Assumptions!B138*Assumptions!B139,0)*Assumptions!B86,0)</f>
        <v>382</v>
      </c>
      <c r="P24" s="55" t="n">
        <f aca="false">K24+L24+M24+N24+O24+X24</f>
        <v>881</v>
      </c>
      <c r="Q24" s="55" t="n">
        <f aca="false">I24-P24</f>
        <v>5350</v>
      </c>
      <c r="R24" s="55" t="n">
        <f aca="false">ROUND(AB24*Assumptions!B51*Assumptions!B52,0)</f>
        <v>6544</v>
      </c>
      <c r="S24" s="56" t="n">
        <f aca="false">I24+R24+W24+AC24+AD24</f>
        <v>13552</v>
      </c>
      <c r="T24" s="55" t="n">
        <f aca="false">IF(U24&lt;P24*3,0,IF(U24&lt;P24*6,ROUND((Q24+R24+W24+AC24+AD24)*0.75*Assumptions!B113,0),ROUND((Q24+R24+W24+AC24+AD24)*0.75*Assumptions!B114,0)))</f>
        <v>3630</v>
      </c>
      <c r="U24" s="56" t="n">
        <f aca="false">U23+Q24+R24+W24+AC24+AD24</f>
        <v>76253</v>
      </c>
      <c r="V24" s="57" t="str">
        <f aca="false">IF(AB24&gt;=Assumptions!B107,"Signal 6",IF(AB24&gt;=Assumptions!B106,"Signal 5",IF(AB24&gt;=Assumptions!B105,"Signal 4",IF(AB24&gt;=Assumptions!B104,"Signal 3",IF(AB24&gt;=Assumptions!B103,"Signal 2",IF(AB24&gt;=Assumptions!B102,"Signal 1","Pre-Signal 1"))))))</f>
        <v>Signal 1</v>
      </c>
      <c r="W24" s="55" t="n">
        <f aca="false">ROUND(AB24*Assumptions!B137*Assumptions!B138*Assumptions!B139*Assumptions!B136,0)</f>
        <v>729</v>
      </c>
      <c r="X24" s="55" t="n">
        <f aca="false">ROUND(AB24*Assumptions!B137*Assumptions!B65,0)</f>
        <v>120</v>
      </c>
      <c r="Y24" s="32" t="n">
        <f aca="false">ROUND(Y23*(1+Assumptions!B165),0)</f>
        <v>561</v>
      </c>
      <c r="Z24" s="33" t="n">
        <f aca="false">Assumptions!B157</f>
        <v>250</v>
      </c>
      <c r="AA24" s="32" t="n">
        <f aca="false">ROUND(Y24*Assumptions!B166,0)</f>
        <v>2</v>
      </c>
      <c r="AB24" s="34" t="n">
        <f aca="false">B24+Z24+AA24</f>
        <v>18696.3760532679</v>
      </c>
      <c r="AC24" s="35" t="n">
        <f aca="false">ROUND(IF(A24&gt;=Assumptions!B144,(IF(A24&gt;=25,Assumptions!B151,IF(A24&gt;=16,Assumptions!B150,Assumptions!B149))/1000*Assumptions!B146)+IF(A24&gt;=Assumptions!B145,(IF(A24&gt;=25,Assumptions!B151,IF(A24&gt;=16,Assumptions!B150,Assumptions!B149))*Assumptions!B152/1000*Assumptions!B147),0),0),0)</f>
        <v>43</v>
      </c>
      <c r="AD24" s="35" t="n">
        <f aca="false">IF(Y24&gt;=10000,Assumptions!B170,IF(Y24&gt;=5000,Assumptions!B169,IF(Y24&gt;=2000,Assumptions!B168,IF(Y24&gt;=500,Assumptions!B167,0))))</f>
        <v>5</v>
      </c>
    </row>
    <row r="25" customFormat="false" ht="15" hidden="false" customHeight="false" outlineLevel="0" collapsed="false">
      <c r="A25" s="36" t="n">
        <v>20</v>
      </c>
      <c r="B25" s="37" t="n">
        <f aca="false">B24*(1+Assumptions!B35)</f>
        <v>21211.0324612581</v>
      </c>
      <c r="C25" s="38" t="n">
        <f aca="false">ROUND(AB25*Assumptions!B25,0)</f>
        <v>429</v>
      </c>
      <c r="D25" s="38" t="n">
        <f aca="false">ROUND(AB25*Assumptions!B24,0)</f>
        <v>107</v>
      </c>
      <c r="E25" s="38" t="n">
        <f aca="false">E24+D25-F25</f>
        <v>628</v>
      </c>
      <c r="F25" s="38" t="n">
        <f aca="false">ROUND(E24*Assumptions!B45,0)</f>
        <v>22</v>
      </c>
      <c r="G25" s="38" t="n">
        <f aca="false">D25-F25</f>
        <v>85</v>
      </c>
      <c r="H25" s="39" t="n">
        <f aca="false">ROUND(E25*(Assumptions!B15*0.85+Assumptions!B11*0.15),0)</f>
        <v>7206</v>
      </c>
      <c r="I25" s="39" t="n">
        <f aca="false">H25</f>
        <v>7206</v>
      </c>
      <c r="J25" s="38" t="n">
        <f aca="false">ROUND(E25*Assumptions!B68,0)</f>
        <v>2198</v>
      </c>
      <c r="K25" s="39" t="n">
        <f aca="false">ROUND(J25*Assumptions!B65,0)</f>
        <v>176</v>
      </c>
      <c r="L25" s="39" t="n">
        <f aca="false">Assumptions!B70+IF(E25&gt;Assumptions!B72,45,0)</f>
        <v>76</v>
      </c>
      <c r="M25" s="39" t="n">
        <f aca="false">Assumptions!B76+Assumptions!B77</f>
        <v>35</v>
      </c>
      <c r="N25" s="39" t="n">
        <f aca="false">Assumptions!B81+Assumptions!B82+Assumptions!B87/12+Assumptions!B148</f>
        <v>116</v>
      </c>
      <c r="O25" s="39" t="n">
        <f aca="false">ROUND(I25*Assumptions!B85+E25*Assumptions!B86+W25*Assumptions!B85+ROUND(AB25*Assumptions!B137*Assumptions!B138*Assumptions!B139,0)*Assumptions!B86,0)</f>
        <v>441</v>
      </c>
      <c r="P25" s="39" t="n">
        <f aca="false">K25+L25+M25+N25+O25+X25</f>
        <v>981</v>
      </c>
      <c r="Q25" s="39" t="n">
        <f aca="false">I25-P25</f>
        <v>6225</v>
      </c>
      <c r="R25" s="39" t="n">
        <f aca="false">ROUND(AB25*Assumptions!B51*Assumptions!B52,0)</f>
        <v>7512</v>
      </c>
      <c r="S25" s="40" t="n">
        <f aca="false">I25+R25+W25+AC25+AD25</f>
        <v>15603</v>
      </c>
      <c r="T25" s="39" t="n">
        <f aca="false">IF(U25&lt;P25*3,0,IF(U25&lt;P25*6,ROUND((Q25+R25+W25+AC25+AD25)*0.75*Assumptions!B113,0),ROUND((Q25+R25+W25+AC25+AD25)*0.75*Assumptions!B114,0)))</f>
        <v>4189</v>
      </c>
      <c r="U25" s="40" t="n">
        <f aca="false">U24+Q25+R25+W25+AC25+AD25</f>
        <v>90875</v>
      </c>
      <c r="V25" s="41" t="str">
        <f aca="false">IF(AB25&gt;=Assumptions!B107,"Signal 6",IF(AB25&gt;=Assumptions!B106,"Signal 5",IF(AB25&gt;=Assumptions!B105,"Signal 4",IF(AB25&gt;=Assumptions!B104,"Signal 3",IF(AB25&gt;=Assumptions!B103,"Signal 2",IF(AB25&gt;=Assumptions!B102,"Signal 1","Pre-Signal 1"))))))</f>
        <v>Signal 1</v>
      </c>
      <c r="W25" s="39" t="n">
        <f aca="false">ROUND(AB25*Assumptions!B137*Assumptions!B138*Assumptions!B139*Assumptions!B136,0)</f>
        <v>837</v>
      </c>
      <c r="X25" s="39" t="n">
        <f aca="false">ROUND(AB25*Assumptions!B137*Assumptions!B65,0)</f>
        <v>137</v>
      </c>
      <c r="Y25" s="32" t="n">
        <f aca="false">ROUND(Y24*(1+Assumptions!B165),0)</f>
        <v>617</v>
      </c>
      <c r="Z25" s="33" t="n">
        <f aca="false">Assumptions!B157</f>
        <v>250</v>
      </c>
      <c r="AA25" s="32" t="n">
        <f aca="false">ROUND(Y25*Assumptions!B166,0)</f>
        <v>2</v>
      </c>
      <c r="AB25" s="34" t="n">
        <f aca="false">B25+Z25+AA25</f>
        <v>21463.0324612581</v>
      </c>
      <c r="AC25" s="35" t="n">
        <f aca="false">ROUND(IF(A25&gt;=Assumptions!B144,(IF(A25&gt;=25,Assumptions!B151,IF(A25&gt;=16,Assumptions!B150,Assumptions!B149))/1000*Assumptions!B146)+IF(A25&gt;=Assumptions!B145,(IF(A25&gt;=25,Assumptions!B151,IF(A25&gt;=16,Assumptions!B150,Assumptions!B149))*Assumptions!B152/1000*Assumptions!B147),0),0),0)</f>
        <v>43</v>
      </c>
      <c r="AD25" s="35" t="n">
        <f aca="false">IF(Y25&gt;=10000,Assumptions!B170,IF(Y25&gt;=5000,Assumptions!B169,IF(Y25&gt;=2000,Assumptions!B168,IF(Y25&gt;=500,Assumptions!B167,0))))</f>
        <v>5</v>
      </c>
    </row>
    <row r="26" customFormat="false" ht="15" hidden="false" customHeight="false" outlineLevel="0" collapsed="false">
      <c r="A26" s="52" t="n">
        <v>21</v>
      </c>
      <c r="B26" s="53" t="n">
        <f aca="false">B25*(1+Assumptions!B35)</f>
        <v>24392.6873304469</v>
      </c>
      <c r="C26" s="54" t="n">
        <f aca="false">ROUND(AB26*Assumptions!B25,0)</f>
        <v>493</v>
      </c>
      <c r="D26" s="54" t="n">
        <f aca="false">ROUND(AB26*Assumptions!B24,0)</f>
        <v>123</v>
      </c>
      <c r="E26" s="54" t="n">
        <f aca="false">E25+D26-F26</f>
        <v>726</v>
      </c>
      <c r="F26" s="54" t="n">
        <f aca="false">ROUND(E25*Assumptions!B45,0)</f>
        <v>25</v>
      </c>
      <c r="G26" s="54" t="n">
        <f aca="false">D26-F26</f>
        <v>98</v>
      </c>
      <c r="H26" s="55" t="n">
        <f aca="false">ROUND(E26*(Assumptions!B15*0.85+Assumptions!B11*0.15),0)</f>
        <v>8331</v>
      </c>
      <c r="I26" s="55" t="n">
        <f aca="false">H26</f>
        <v>8331</v>
      </c>
      <c r="J26" s="54" t="n">
        <f aca="false">ROUND(E26*Assumptions!B68,0)</f>
        <v>2541</v>
      </c>
      <c r="K26" s="55" t="n">
        <f aca="false">ROUND(J26*Assumptions!B65,0)</f>
        <v>203</v>
      </c>
      <c r="L26" s="55" t="n">
        <f aca="false">Assumptions!B70+IF(E26&gt;Assumptions!B72,45,0)</f>
        <v>76</v>
      </c>
      <c r="M26" s="55" t="n">
        <f aca="false">Assumptions!B76+Assumptions!B77</f>
        <v>35</v>
      </c>
      <c r="N26" s="55" t="n">
        <f aca="false">Assumptions!B81+Assumptions!B82+Assumptions!B87/12+Assumptions!B148</f>
        <v>116</v>
      </c>
      <c r="O26" s="55" t="n">
        <f aca="false">ROUND(I26*Assumptions!B85+E26*Assumptions!B86+W26*Assumptions!B85+ROUND(AB26*Assumptions!B137*Assumptions!B138*Assumptions!B139,0)*Assumptions!B86,0)</f>
        <v>509</v>
      </c>
      <c r="P26" s="55" t="n">
        <f aca="false">K26+L26+M26+N26+O26+X26</f>
        <v>1097</v>
      </c>
      <c r="Q26" s="55" t="n">
        <f aca="false">I26-P26</f>
        <v>7234</v>
      </c>
      <c r="R26" s="55" t="n">
        <f aca="false">ROUND(AB26*Assumptions!B51*Assumptions!B52,0)</f>
        <v>8626</v>
      </c>
      <c r="S26" s="56" t="n">
        <f aca="false">I26+R26+W26+AC26+AD26</f>
        <v>17966</v>
      </c>
      <c r="T26" s="55" t="n">
        <f aca="false">IF(U26&lt;P26*3,0,IF(U26&lt;P26*6,ROUND((Q26+R26+W26+AC26+AD26)*0.75*Assumptions!B113,0),ROUND((Q26+R26+W26+AC26+AD26)*0.75*Assumptions!B114,0)))</f>
        <v>4833</v>
      </c>
      <c r="U26" s="56" t="n">
        <f aca="false">U25+Q26+R26+W26+AC26+AD26</f>
        <v>107744</v>
      </c>
      <c r="V26" s="57" t="str">
        <f aca="false">IF(AB26&gt;=Assumptions!B107,"Signal 6",IF(AB26&gt;=Assumptions!B106,"Signal 5",IF(AB26&gt;=Assumptions!B105,"Signal 4",IF(AB26&gt;=Assumptions!B104,"Signal 3",IF(AB26&gt;=Assumptions!B103,"Signal 2",IF(AB26&gt;=Assumptions!B102,"Signal 1","Pre-Signal 1"))))))</f>
        <v>Signal 1</v>
      </c>
      <c r="W26" s="55" t="n">
        <f aca="false">ROUND(AB26*Assumptions!B137*Assumptions!B138*Assumptions!B139*Assumptions!B136,0)</f>
        <v>961</v>
      </c>
      <c r="X26" s="55" t="n">
        <f aca="false">ROUND(AB26*Assumptions!B137*Assumptions!B65,0)</f>
        <v>158</v>
      </c>
      <c r="Y26" s="32" t="n">
        <f aca="false">ROUND(Y25*(1+Assumptions!B165),0)</f>
        <v>679</v>
      </c>
      <c r="Z26" s="33" t="n">
        <f aca="false">Assumptions!B157</f>
        <v>250</v>
      </c>
      <c r="AA26" s="32" t="n">
        <f aca="false">ROUND(Y26*Assumptions!B166,0)</f>
        <v>2</v>
      </c>
      <c r="AB26" s="34" t="n">
        <f aca="false">B26+Z26+AA26</f>
        <v>24644.6873304469</v>
      </c>
      <c r="AC26" s="35" t="n">
        <f aca="false">ROUND(IF(A26&gt;=Assumptions!B144,(IF(A26&gt;=25,Assumptions!B151,IF(A26&gt;=16,Assumptions!B150,Assumptions!B149))/1000*Assumptions!B146)+IF(A26&gt;=Assumptions!B145,(IF(A26&gt;=25,Assumptions!B151,IF(A26&gt;=16,Assumptions!B150,Assumptions!B149))*Assumptions!B152/1000*Assumptions!B147),0),0),0)</f>
        <v>43</v>
      </c>
      <c r="AD26" s="35" t="n">
        <f aca="false">IF(Y26&gt;=10000,Assumptions!B170,IF(Y26&gt;=5000,Assumptions!B169,IF(Y26&gt;=2000,Assumptions!B168,IF(Y26&gt;=500,Assumptions!B167,0))))</f>
        <v>5</v>
      </c>
    </row>
    <row r="27" customFormat="false" ht="15" hidden="false" customHeight="false" outlineLevel="0" collapsed="false">
      <c r="A27" s="36" t="n">
        <v>22</v>
      </c>
      <c r="B27" s="37" t="n">
        <f aca="false">B26*(1+Assumptions!B35)</f>
        <v>28051.5904300139</v>
      </c>
      <c r="C27" s="38" t="n">
        <f aca="false">ROUND(AB27*Assumptions!B25,0)</f>
        <v>566</v>
      </c>
      <c r="D27" s="38" t="n">
        <f aca="false">ROUND(AB27*Assumptions!B24,0)</f>
        <v>142</v>
      </c>
      <c r="E27" s="38" t="n">
        <f aca="false">E26+D27-F27</f>
        <v>839</v>
      </c>
      <c r="F27" s="38" t="n">
        <f aca="false">ROUND(E26*Assumptions!B45,0)</f>
        <v>29</v>
      </c>
      <c r="G27" s="38" t="n">
        <f aca="false">D27-F27</f>
        <v>113</v>
      </c>
      <c r="H27" s="39" t="n">
        <f aca="false">ROUND(E27*(Assumptions!B15*0.85+Assumptions!B11*0.15),0)</f>
        <v>9628</v>
      </c>
      <c r="I27" s="39" t="n">
        <f aca="false">H27</f>
        <v>9628</v>
      </c>
      <c r="J27" s="38" t="n">
        <f aca="false">ROUND(E27*Assumptions!B68,0)</f>
        <v>2937</v>
      </c>
      <c r="K27" s="39" t="n">
        <f aca="false">ROUND(J27*Assumptions!B65,0)</f>
        <v>235</v>
      </c>
      <c r="L27" s="39" t="n">
        <f aca="false">Assumptions!B70+IF(E27&gt;Assumptions!B72,45,0)</f>
        <v>76</v>
      </c>
      <c r="M27" s="39" t="n">
        <f aca="false">Assumptions!B76+Assumptions!B77</f>
        <v>35</v>
      </c>
      <c r="N27" s="39" t="n">
        <f aca="false">Assumptions!B81+Assumptions!B82+Assumptions!B87/12+Assumptions!B148</f>
        <v>116</v>
      </c>
      <c r="O27" s="39" t="n">
        <f aca="false">ROUND(I27*Assumptions!B85+E27*Assumptions!B86+W27*Assumptions!B85+ROUND(AB27*Assumptions!B137*Assumptions!B138*Assumptions!B139,0)*Assumptions!B86,0)</f>
        <v>588</v>
      </c>
      <c r="P27" s="39" t="n">
        <f aca="false">K27+L27+M27+N27+O27+X27</f>
        <v>1231</v>
      </c>
      <c r="Q27" s="39" t="n">
        <f aca="false">I27-P27</f>
        <v>8397</v>
      </c>
      <c r="R27" s="39" t="n">
        <f aca="false">ROUND(AB27*Assumptions!B51*Assumptions!B52,0)</f>
        <v>9906</v>
      </c>
      <c r="S27" s="40" t="n">
        <f aca="false">I27+R27+W27+AC27+AD27</f>
        <v>20686</v>
      </c>
      <c r="T27" s="39" t="n">
        <f aca="false">IF(U27&lt;P27*3,0,IF(U27&lt;P27*6,ROUND((Q27+R27+W27+AC27+AD27)*0.75*Assumptions!B113,0),ROUND((Q27+R27+W27+AC27+AD27)*0.75*Assumptions!B114,0)))</f>
        <v>5574</v>
      </c>
      <c r="U27" s="40" t="n">
        <f aca="false">U26+Q27+R27+W27+AC27+AD27</f>
        <v>127199</v>
      </c>
      <c r="V27" s="41" t="str">
        <f aca="false">IF(AB27&gt;=Assumptions!B107,"Signal 6",IF(AB27&gt;=Assumptions!B106,"Signal 5",IF(AB27&gt;=Assumptions!B105,"Signal 4",IF(AB27&gt;=Assumptions!B104,"Signal 3",IF(AB27&gt;=Assumptions!B103,"Signal 2",IF(AB27&gt;=Assumptions!B102,"Signal 1","Pre-Signal 1"))))))</f>
        <v>Signal 2</v>
      </c>
      <c r="W27" s="39" t="n">
        <f aca="false">ROUND(AB27*Assumptions!B137*Assumptions!B138*Assumptions!B139*Assumptions!B136,0)</f>
        <v>1104</v>
      </c>
      <c r="X27" s="39" t="n">
        <f aca="false">ROUND(AB27*Assumptions!B137*Assumptions!B65,0)</f>
        <v>181</v>
      </c>
      <c r="Y27" s="32" t="n">
        <f aca="false">ROUND(Y26*(1+Assumptions!B165),0)</f>
        <v>747</v>
      </c>
      <c r="Z27" s="33" t="n">
        <f aca="false">Assumptions!B157</f>
        <v>250</v>
      </c>
      <c r="AA27" s="32" t="n">
        <f aca="false">ROUND(Y27*Assumptions!B166,0)</f>
        <v>2</v>
      </c>
      <c r="AB27" s="34" t="n">
        <f aca="false">B27+Z27+AA27</f>
        <v>28303.5904300139</v>
      </c>
      <c r="AC27" s="35" t="n">
        <f aca="false">ROUND(IF(A27&gt;=Assumptions!B144,(IF(A27&gt;=25,Assumptions!B151,IF(A27&gt;=16,Assumptions!B150,Assumptions!B149))/1000*Assumptions!B146)+IF(A27&gt;=Assumptions!B145,(IF(A27&gt;=25,Assumptions!B151,IF(A27&gt;=16,Assumptions!B150,Assumptions!B149))*Assumptions!B152/1000*Assumptions!B147),0),0),0)</f>
        <v>43</v>
      </c>
      <c r="AD27" s="35" t="n">
        <f aca="false">IF(Y27&gt;=10000,Assumptions!B170,IF(Y27&gt;=5000,Assumptions!B169,IF(Y27&gt;=2000,Assumptions!B168,IF(Y27&gt;=500,Assumptions!B167,0))))</f>
        <v>5</v>
      </c>
    </row>
    <row r="28" customFormat="false" ht="15" hidden="false" customHeight="false" outlineLevel="0" collapsed="false">
      <c r="A28" s="52" t="n">
        <v>23</v>
      </c>
      <c r="B28" s="53" t="n">
        <f aca="false">B27*(1+Assumptions!B35)</f>
        <v>32259.328994516</v>
      </c>
      <c r="C28" s="54" t="n">
        <f aca="false">ROUND(AB28*Assumptions!B25,0)</f>
        <v>650</v>
      </c>
      <c r="D28" s="54" t="n">
        <f aca="false">ROUND(AB28*Assumptions!B24,0)</f>
        <v>163</v>
      </c>
      <c r="E28" s="54" t="n">
        <f aca="false">E27+D28-F28</f>
        <v>968</v>
      </c>
      <c r="F28" s="54" t="n">
        <f aca="false">ROUND(E27*Assumptions!B45,0)</f>
        <v>34</v>
      </c>
      <c r="G28" s="54" t="n">
        <f aca="false">D28-F28</f>
        <v>129</v>
      </c>
      <c r="H28" s="55" t="n">
        <f aca="false">ROUND(E28*(Assumptions!B15*0.85+Assumptions!B11*0.15),0)</f>
        <v>11108</v>
      </c>
      <c r="I28" s="55" t="n">
        <f aca="false">H28</f>
        <v>11108</v>
      </c>
      <c r="J28" s="54" t="n">
        <f aca="false">ROUND(E28*Assumptions!B68,0)</f>
        <v>3388</v>
      </c>
      <c r="K28" s="55" t="n">
        <f aca="false">ROUND(J28*Assumptions!B65,0)</f>
        <v>271</v>
      </c>
      <c r="L28" s="55" t="n">
        <f aca="false">Assumptions!B70+IF(E28&gt;Assumptions!B72,45,0)</f>
        <v>76</v>
      </c>
      <c r="M28" s="55" t="n">
        <f aca="false">Assumptions!B76+Assumptions!B77</f>
        <v>35</v>
      </c>
      <c r="N28" s="55" t="n">
        <f aca="false">Assumptions!B81+Assumptions!B82+Assumptions!B87/12+Assumptions!B148</f>
        <v>116</v>
      </c>
      <c r="O28" s="55" t="n">
        <f aca="false">ROUND(I28*Assumptions!B85+E28*Assumptions!B86+W28*Assumptions!B85+ROUND(AB28*Assumptions!B137*Assumptions!B138*Assumptions!B139,0)*Assumptions!B86,0)</f>
        <v>679</v>
      </c>
      <c r="P28" s="55" t="n">
        <f aca="false">K28+L28+M28+N28+O28+X28</f>
        <v>1385</v>
      </c>
      <c r="Q28" s="55" t="n">
        <f aca="false">I28-P28</f>
        <v>9723</v>
      </c>
      <c r="R28" s="55" t="n">
        <f aca="false">ROUND(AB28*Assumptions!B51*Assumptions!B52,0)</f>
        <v>11379</v>
      </c>
      <c r="S28" s="56" t="n">
        <f aca="false">I28+R28+W28+AC28+AD28</f>
        <v>23803</v>
      </c>
      <c r="T28" s="55" t="n">
        <f aca="false">IF(U28&lt;P28*3,0,IF(U28&lt;P28*6,ROUND((Q28+R28+W28+AC28+AD28)*0.75*Assumptions!B113,0),ROUND((Q28+R28+W28+AC28+AD28)*0.75*Assumptions!B114,0)))</f>
        <v>6423</v>
      </c>
      <c r="U28" s="56" t="n">
        <f aca="false">U27+Q28+R28+W28+AC28+AD28</f>
        <v>149617</v>
      </c>
      <c r="V28" s="57" t="str">
        <f aca="false">IF(AB28&gt;=Assumptions!B107,"Signal 6",IF(AB28&gt;=Assumptions!B106,"Signal 5",IF(AB28&gt;=Assumptions!B105,"Signal 4",IF(AB28&gt;=Assumptions!B104,"Signal 3",IF(AB28&gt;=Assumptions!B103,"Signal 2",IF(AB28&gt;=Assumptions!B102,"Signal 1","Pre-Signal 1"))))))</f>
        <v>Signal 2</v>
      </c>
      <c r="W28" s="55" t="n">
        <f aca="false">ROUND(AB28*Assumptions!B137*Assumptions!B138*Assumptions!B139*Assumptions!B136,0)</f>
        <v>1268</v>
      </c>
      <c r="X28" s="55" t="n">
        <f aca="false">ROUND(AB28*Assumptions!B137*Assumptions!B65,0)</f>
        <v>208</v>
      </c>
      <c r="Y28" s="32" t="n">
        <f aca="false">ROUND(Y27*(1+Assumptions!B165),0)</f>
        <v>822</v>
      </c>
      <c r="Z28" s="33" t="n">
        <f aca="false">Assumptions!B157</f>
        <v>250</v>
      </c>
      <c r="AA28" s="32" t="n">
        <f aca="false">ROUND(Y28*Assumptions!B166,0)</f>
        <v>2</v>
      </c>
      <c r="AB28" s="34" t="n">
        <f aca="false">B28+Z28+AA28</f>
        <v>32511.328994516</v>
      </c>
      <c r="AC28" s="35" t="n">
        <f aca="false">ROUND(IF(A28&gt;=Assumptions!B144,(IF(A28&gt;=25,Assumptions!B151,IF(A28&gt;=16,Assumptions!B150,Assumptions!B149))/1000*Assumptions!B146)+IF(A28&gt;=Assumptions!B145,(IF(A28&gt;=25,Assumptions!B151,IF(A28&gt;=16,Assumptions!B150,Assumptions!B149))*Assumptions!B152/1000*Assumptions!B147),0),0),0)</f>
        <v>43</v>
      </c>
      <c r="AD28" s="35" t="n">
        <f aca="false">IF(Y28&gt;=10000,Assumptions!B170,IF(Y28&gt;=5000,Assumptions!B169,IF(Y28&gt;=2000,Assumptions!B168,IF(Y28&gt;=500,Assumptions!B167,0))))</f>
        <v>5</v>
      </c>
    </row>
    <row r="29" customFormat="false" ht="15" hidden="false" customHeight="false" outlineLevel="0" collapsed="false">
      <c r="A29" s="36" t="n">
        <v>24</v>
      </c>
      <c r="B29" s="37" t="n">
        <f aca="false">B28*(1+Assumptions!B35)</f>
        <v>37098.2283436934</v>
      </c>
      <c r="C29" s="38" t="n">
        <f aca="false">ROUND(AB29*Assumptions!B25,0)</f>
        <v>747</v>
      </c>
      <c r="D29" s="38" t="n">
        <f aca="false">ROUND(AB29*Assumptions!B24,0)</f>
        <v>187</v>
      </c>
      <c r="E29" s="38" t="n">
        <f aca="false">E28+D29-F29</f>
        <v>1116</v>
      </c>
      <c r="F29" s="38" t="n">
        <f aca="false">ROUND(E28*Assumptions!B45,0)</f>
        <v>39</v>
      </c>
      <c r="G29" s="38" t="n">
        <f aca="false">D29-F29</f>
        <v>148</v>
      </c>
      <c r="H29" s="39" t="n">
        <f aca="false">ROUND(E29*(Assumptions!B15*0.85+Assumptions!B11*0.15),0)</f>
        <v>12806</v>
      </c>
      <c r="I29" s="39" t="n">
        <f aca="false">H29</f>
        <v>12806</v>
      </c>
      <c r="J29" s="38" t="n">
        <f aca="false">ROUND(E29*Assumptions!B68,0)</f>
        <v>3906</v>
      </c>
      <c r="K29" s="39" t="n">
        <f aca="false">ROUND(J29*Assumptions!B65,0)</f>
        <v>312</v>
      </c>
      <c r="L29" s="39" t="n">
        <f aca="false">Assumptions!B70+IF(E29&gt;Assumptions!B72,45,0)</f>
        <v>76</v>
      </c>
      <c r="M29" s="39" t="n">
        <f aca="false">Assumptions!B76+Assumptions!B77</f>
        <v>35</v>
      </c>
      <c r="N29" s="39" t="n">
        <f aca="false">Assumptions!B81+Assumptions!B82+Assumptions!B87/12+Assumptions!B148</f>
        <v>116</v>
      </c>
      <c r="O29" s="39" t="n">
        <f aca="false">ROUND(I29*Assumptions!B85+E29*Assumptions!B86+W29*Assumptions!B85+ROUND(AB29*Assumptions!B137*Assumptions!B138*Assumptions!B139,0)*Assumptions!B86,0)</f>
        <v>782</v>
      </c>
      <c r="P29" s="39" t="n">
        <f aca="false">K29+L29+M29+N29+O29+X29</f>
        <v>1560</v>
      </c>
      <c r="Q29" s="39" t="n">
        <f aca="false">I29-P29</f>
        <v>11246</v>
      </c>
      <c r="R29" s="39" t="n">
        <f aca="false">ROUND(AB29*Assumptions!B51*Assumptions!B52,0)</f>
        <v>13073</v>
      </c>
      <c r="S29" s="40" t="n">
        <f aca="false">I29+R29+W29+AC29+AD29</f>
        <v>27384</v>
      </c>
      <c r="T29" s="39" t="n">
        <f aca="false">IF(U29&lt;P29*3,0,IF(U29&lt;P29*6,ROUND((Q29+R29+W29+AC29+AD29)*0.75*Assumptions!B113,0),ROUND((Q29+R29+W29+AC29+AD29)*0.75*Assumptions!B114,0)))</f>
        <v>7399</v>
      </c>
      <c r="U29" s="40" t="n">
        <f aca="false">U28+Q29+R29+W29+AC29+AD29</f>
        <v>175441</v>
      </c>
      <c r="V29" s="41" t="str">
        <f aca="false">IF(AB29&gt;=Assumptions!B107,"Signal 6",IF(AB29&gt;=Assumptions!B106,"Signal 5",IF(AB29&gt;=Assumptions!B105,"Signal 4",IF(AB29&gt;=Assumptions!B104,"Signal 3",IF(AB29&gt;=Assumptions!B103,"Signal 2",IF(AB29&gt;=Assumptions!B102,"Signal 1","Pre-Signal 1"))))))</f>
        <v>Signal 2</v>
      </c>
      <c r="W29" s="39" t="n">
        <f aca="false">ROUND(AB29*Assumptions!B137*Assumptions!B138*Assumptions!B139*Assumptions!B136,0)</f>
        <v>1457</v>
      </c>
      <c r="X29" s="39" t="n">
        <f aca="false">ROUND(AB29*Assumptions!B137*Assumptions!B65,0)</f>
        <v>239</v>
      </c>
      <c r="Y29" s="32" t="n">
        <f aca="false">ROUND(Y28*(1+Assumptions!B165),0)</f>
        <v>904</v>
      </c>
      <c r="Z29" s="33" t="n">
        <f aca="false">Assumptions!B157</f>
        <v>250</v>
      </c>
      <c r="AA29" s="32" t="n">
        <f aca="false">ROUND(Y29*Assumptions!B166,0)</f>
        <v>3</v>
      </c>
      <c r="AB29" s="34" t="n">
        <f aca="false">B29+Z29+AA29</f>
        <v>37351.2283436934</v>
      </c>
      <c r="AC29" s="35" t="n">
        <f aca="false">ROUND(IF(A29&gt;=Assumptions!B144,(IF(A29&gt;=25,Assumptions!B151,IF(A29&gt;=16,Assumptions!B150,Assumptions!B149))/1000*Assumptions!B146)+IF(A29&gt;=Assumptions!B145,(IF(A29&gt;=25,Assumptions!B151,IF(A29&gt;=16,Assumptions!B150,Assumptions!B149))*Assumptions!B152/1000*Assumptions!B147),0),0),0)</f>
        <v>43</v>
      </c>
      <c r="AD29" s="35" t="n">
        <f aca="false">IF(Y29&gt;=10000,Assumptions!B170,IF(Y29&gt;=5000,Assumptions!B169,IF(Y29&gt;=2000,Assumptions!B168,IF(Y29&gt;=500,Assumptions!B167,0))))</f>
        <v>5</v>
      </c>
    </row>
    <row r="30" customFormat="false" ht="15" hidden="false" customHeight="false" outlineLevel="0" collapsed="false">
      <c r="A30" s="52" t="n">
        <v>25</v>
      </c>
      <c r="B30" s="53" t="n">
        <f aca="false">B29*(1+Assumptions!B35)</f>
        <v>42662.9625952474</v>
      </c>
      <c r="C30" s="54" t="n">
        <f aca="false">ROUND(AB30*Assumptions!B25,0)</f>
        <v>861</v>
      </c>
      <c r="D30" s="54" t="n">
        <f aca="false">ROUND(AB30*Assumptions!B24,0)</f>
        <v>215</v>
      </c>
      <c r="E30" s="54" t="n">
        <f aca="false">E29+D30-F30</f>
        <v>1286</v>
      </c>
      <c r="F30" s="54" t="n">
        <f aca="false">ROUND(E29*Assumptions!B45,0)</f>
        <v>45</v>
      </c>
      <c r="G30" s="54" t="n">
        <f aca="false">D30-F30</f>
        <v>170</v>
      </c>
      <c r="H30" s="55" t="n">
        <f aca="false">ROUND(E30*(Assumptions!B15*0.85+Assumptions!B11*0.15),0)</f>
        <v>14757</v>
      </c>
      <c r="I30" s="55" t="n">
        <f aca="false">H30</f>
        <v>14757</v>
      </c>
      <c r="J30" s="54" t="n">
        <f aca="false">ROUND(E30*Assumptions!B68,0)</f>
        <v>4501</v>
      </c>
      <c r="K30" s="55" t="n">
        <f aca="false">ROUND(J30*Assumptions!B65,0)</f>
        <v>360</v>
      </c>
      <c r="L30" s="55" t="n">
        <f aca="false">Assumptions!B70+IF(E30&gt;Assumptions!B72,45,0)</f>
        <v>76</v>
      </c>
      <c r="M30" s="55" t="n">
        <f aca="false">Assumptions!B76+Assumptions!B77</f>
        <v>35</v>
      </c>
      <c r="N30" s="55" t="n">
        <f aca="false">Assumptions!B81+Assumptions!B82+Assumptions!B87/12+Assumptions!B148</f>
        <v>116</v>
      </c>
      <c r="O30" s="55" t="n">
        <f aca="false">ROUND(I30*Assumptions!B85+E30*Assumptions!B86+W30*Assumptions!B85+ROUND(AB30*Assumptions!B137*Assumptions!B138*Assumptions!B139,0)*Assumptions!B86,0)</f>
        <v>901</v>
      </c>
      <c r="P30" s="55" t="n">
        <f aca="false">K30+L30+M30+N30+O30+X30</f>
        <v>1764</v>
      </c>
      <c r="Q30" s="55" t="n">
        <f aca="false">I30-P30</f>
        <v>12993</v>
      </c>
      <c r="R30" s="55" t="n">
        <f aca="false">ROUND(AB30*Assumptions!B51*Assumptions!B52,0)</f>
        <v>15073</v>
      </c>
      <c r="S30" s="56" t="n">
        <f aca="false">I30+R30+W30+AC30+AD30</f>
        <v>31591</v>
      </c>
      <c r="T30" s="55" t="n">
        <f aca="false">IF(U30&lt;P30*3,0,IF(U30&lt;P30*6,ROUND((Q30+R30+W30+AC30+AD30)*0.75*Assumptions!B113,0),ROUND((Q30+R30+W30+AC30+AD30)*0.75*Assumptions!B114,0)))</f>
        <v>8545</v>
      </c>
      <c r="U30" s="56" t="n">
        <f aca="false">U29+Q30+R30+W30+AC30+AD30</f>
        <v>205268</v>
      </c>
      <c r="V30" s="57" t="str">
        <f aca="false">IF(AB30&gt;=Assumptions!B107,"Signal 6",IF(AB30&gt;=Assumptions!B106,"Signal 5",IF(AB30&gt;=Assumptions!B105,"Signal 4",IF(AB30&gt;=Assumptions!B104,"Signal 3",IF(AB30&gt;=Assumptions!B103,"Signal 2",IF(AB30&gt;=Assumptions!B102,"Signal 1","Pre-Signal 1"))))))</f>
        <v>Signal 3</v>
      </c>
      <c r="W30" s="55" t="n">
        <f aca="false">ROUND(AB30*Assumptions!B137*Assumptions!B138*Assumptions!B139*Assumptions!B136,0)</f>
        <v>1680</v>
      </c>
      <c r="X30" s="55" t="n">
        <f aca="false">ROUND(AB30*Assumptions!B137*Assumptions!B65,0)</f>
        <v>276</v>
      </c>
      <c r="Y30" s="32" t="n">
        <f aca="false">ROUND(Y29*(1+Assumptions!B165),0)</f>
        <v>994</v>
      </c>
      <c r="Z30" s="33" t="n">
        <f aca="false">Assumptions!B158</f>
        <v>400</v>
      </c>
      <c r="AA30" s="32" t="n">
        <f aca="false">ROUND(Y30*Assumptions!B166,0)</f>
        <v>3</v>
      </c>
      <c r="AB30" s="34" t="n">
        <f aca="false">B30+Z30+AA30</f>
        <v>43065.9625952474</v>
      </c>
      <c r="AC30" s="35" t="n">
        <f aca="false">ROUND(IF(A30&gt;=Assumptions!B144,(IF(A30&gt;=25,Assumptions!B151,IF(A30&gt;=16,Assumptions!B150,Assumptions!B149))/1000*Assumptions!B146)+IF(A30&gt;=Assumptions!B145,(IF(A30&gt;=25,Assumptions!B151,IF(A30&gt;=16,Assumptions!B150,Assumptions!B149))*Assumptions!B152/1000*Assumptions!B147),0),0),0)</f>
        <v>76</v>
      </c>
      <c r="AD30" s="35" t="n">
        <f aca="false">IF(Y30&gt;=10000,Assumptions!B170,IF(Y30&gt;=5000,Assumptions!B169,IF(Y30&gt;=2000,Assumptions!B168,IF(Y30&gt;=500,Assumptions!B167,0))))</f>
        <v>5</v>
      </c>
    </row>
    <row r="31" customFormat="false" ht="15" hidden="false" customHeight="false" outlineLevel="0" collapsed="false">
      <c r="A31" s="36" t="n">
        <v>26</v>
      </c>
      <c r="B31" s="37" t="n">
        <f aca="false">B30*(1+Assumptions!B35)</f>
        <v>49062.4069845345</v>
      </c>
      <c r="C31" s="38" t="n">
        <f aca="false">ROUND(AB31*Assumptions!B25,0)</f>
        <v>989</v>
      </c>
      <c r="D31" s="38" t="n">
        <f aca="false">ROUND(AB31*Assumptions!B24,0)</f>
        <v>247</v>
      </c>
      <c r="E31" s="38" t="n">
        <f aca="false">E30+D31-F31</f>
        <v>1482</v>
      </c>
      <c r="F31" s="38" t="n">
        <f aca="false">ROUND(E30*Assumptions!B45,0)</f>
        <v>51</v>
      </c>
      <c r="G31" s="38" t="n">
        <f aca="false">D31-F31</f>
        <v>196</v>
      </c>
      <c r="H31" s="39" t="n">
        <f aca="false">ROUND(E31*(Assumptions!B15*0.85+Assumptions!B11*0.15),0)</f>
        <v>17006</v>
      </c>
      <c r="I31" s="39" t="n">
        <f aca="false">H31</f>
        <v>17006</v>
      </c>
      <c r="J31" s="38" t="n">
        <f aca="false">ROUND(E31*Assumptions!B68,0)</f>
        <v>5187</v>
      </c>
      <c r="K31" s="39" t="n">
        <f aca="false">ROUND(J31*Assumptions!B65,0)</f>
        <v>415</v>
      </c>
      <c r="L31" s="39" t="n">
        <f aca="false">Assumptions!B70+IF(E31&gt;Assumptions!B72,45,0)</f>
        <v>76</v>
      </c>
      <c r="M31" s="39" t="n">
        <f aca="false">Assumptions!B76+Assumptions!B77</f>
        <v>35</v>
      </c>
      <c r="N31" s="39" t="n">
        <f aca="false">Assumptions!B81+Assumptions!B82+Assumptions!B87/12+Assumptions!B148</f>
        <v>116</v>
      </c>
      <c r="O31" s="39" t="n">
        <f aca="false">ROUND(I31*Assumptions!B85+E31*Assumptions!B86+W31*Assumptions!B85+ROUND(AB31*Assumptions!B137*Assumptions!B138*Assumptions!B139,0)*Assumptions!B86,0)</f>
        <v>1038</v>
      </c>
      <c r="P31" s="39" t="n">
        <f aca="false">K31+L31+M31+N31+O31+X31</f>
        <v>1997</v>
      </c>
      <c r="Q31" s="39" t="n">
        <f aca="false">I31-P31</f>
        <v>15009</v>
      </c>
      <c r="R31" s="39" t="n">
        <f aca="false">ROUND(AB31*Assumptions!B51*Assumptions!B52,0)</f>
        <v>17313</v>
      </c>
      <c r="S31" s="40" t="n">
        <f aca="false">I31+R31+W31+AC31+AD31</f>
        <v>36329</v>
      </c>
      <c r="T31" s="39" t="n">
        <f aca="false">IF(U31&lt;P31*3,0,IF(U31&lt;P31*6,ROUND((Q31+R31+W31+AC31+AD31)*0.75*Assumptions!B113,0),ROUND((Q31+R31+W31+AC31+AD31)*0.75*Assumptions!B114,0)))</f>
        <v>9836</v>
      </c>
      <c r="U31" s="40" t="n">
        <f aca="false">U30+Q31+R31+W31+AC31+AD31</f>
        <v>239600</v>
      </c>
      <c r="V31" s="41" t="str">
        <f aca="false">IF(AB31&gt;=Assumptions!B107,"Signal 6",IF(AB31&gt;=Assumptions!B106,"Signal 5",IF(AB31&gt;=Assumptions!B105,"Signal 4",IF(AB31&gt;=Assumptions!B104,"Signal 3",IF(AB31&gt;=Assumptions!B103,"Signal 2",IF(AB31&gt;=Assumptions!B102,"Signal 1","Pre-Signal 1"))))))</f>
        <v>Signal 3</v>
      </c>
      <c r="W31" s="39" t="n">
        <f aca="false">ROUND(AB31*Assumptions!B137*Assumptions!B138*Assumptions!B139*Assumptions!B136,0)</f>
        <v>1929</v>
      </c>
      <c r="X31" s="39" t="n">
        <f aca="false">ROUND(AB31*Assumptions!B137*Assumptions!B65,0)</f>
        <v>317</v>
      </c>
      <c r="Y31" s="32" t="n">
        <f aca="false">ROUND(Y30*(1+Assumptions!B165),0)</f>
        <v>1093</v>
      </c>
      <c r="Z31" s="33" t="n">
        <f aca="false">Assumptions!B158</f>
        <v>400</v>
      </c>
      <c r="AA31" s="32" t="n">
        <f aca="false">ROUND(Y31*Assumptions!B166,0)</f>
        <v>3</v>
      </c>
      <c r="AB31" s="34" t="n">
        <f aca="false">B31+Z31+AA31</f>
        <v>49465.4069845345</v>
      </c>
      <c r="AC31" s="35" t="n">
        <f aca="false">ROUND(IF(A31&gt;=Assumptions!B144,(IF(A31&gt;=25,Assumptions!B151,IF(A31&gt;=16,Assumptions!B150,Assumptions!B149))/1000*Assumptions!B146)+IF(A31&gt;=Assumptions!B145,(IF(A31&gt;=25,Assumptions!B151,IF(A31&gt;=16,Assumptions!B150,Assumptions!B149))*Assumptions!B152/1000*Assumptions!B147),0),0),0)</f>
        <v>76</v>
      </c>
      <c r="AD31" s="35" t="n">
        <f aca="false">IF(Y31&gt;=10000,Assumptions!B170,IF(Y31&gt;=5000,Assumptions!B169,IF(Y31&gt;=2000,Assumptions!B168,IF(Y31&gt;=500,Assumptions!B167,0))))</f>
        <v>5</v>
      </c>
    </row>
    <row r="32" customFormat="false" ht="15" hidden="false" customHeight="false" outlineLevel="0" collapsed="false">
      <c r="A32" s="52" t="n">
        <v>27</v>
      </c>
      <c r="B32" s="53" t="n">
        <f aca="false">B31*(1+Assumptions!B35)</f>
        <v>56421.7680322146</v>
      </c>
      <c r="C32" s="54" t="n">
        <f aca="false">ROUND(AB32*Assumptions!B25,0)</f>
        <v>1137</v>
      </c>
      <c r="D32" s="54" t="n">
        <f aca="false">ROUND(AB32*Assumptions!B24,0)</f>
        <v>284</v>
      </c>
      <c r="E32" s="54" t="n">
        <f aca="false">E31+D32-F32</f>
        <v>1707</v>
      </c>
      <c r="F32" s="54" t="n">
        <f aca="false">ROUND(E31*Assumptions!B45,0)</f>
        <v>59</v>
      </c>
      <c r="G32" s="54" t="n">
        <f aca="false">D32-F32</f>
        <v>225</v>
      </c>
      <c r="H32" s="55" t="n">
        <f aca="false">ROUND(E32*(Assumptions!B15*0.85+Assumptions!B11*0.15),0)</f>
        <v>19588</v>
      </c>
      <c r="I32" s="55" t="n">
        <f aca="false">H32</f>
        <v>19588</v>
      </c>
      <c r="J32" s="54" t="n">
        <f aca="false">ROUND(E32*Assumptions!B68,0)</f>
        <v>5975</v>
      </c>
      <c r="K32" s="55" t="n">
        <f aca="false">ROUND(J32*Assumptions!B65,0)</f>
        <v>478</v>
      </c>
      <c r="L32" s="55" t="n">
        <f aca="false">Assumptions!B70+IF(E32&gt;Assumptions!B72,45,0)</f>
        <v>76</v>
      </c>
      <c r="M32" s="55" t="n">
        <f aca="false">Assumptions!B76+Assumptions!B77</f>
        <v>35</v>
      </c>
      <c r="N32" s="55" t="n">
        <f aca="false">Assumptions!B81+Assumptions!B82+Assumptions!B87/12+Assumptions!B148</f>
        <v>116</v>
      </c>
      <c r="O32" s="55" t="n">
        <f aca="false">ROUND(I32*Assumptions!B85+E32*Assumptions!B86+W32*Assumptions!B85+ROUND(AB32*Assumptions!B137*Assumptions!B138*Assumptions!B139,0)*Assumptions!B86,0)</f>
        <v>1195</v>
      </c>
      <c r="P32" s="55" t="n">
        <f aca="false">K32+L32+M32+N32+O32+X32</f>
        <v>2264</v>
      </c>
      <c r="Q32" s="55" t="n">
        <f aca="false">I32-P32</f>
        <v>17324</v>
      </c>
      <c r="R32" s="55" t="n">
        <f aca="false">ROUND(AB32*Assumptions!B51*Assumptions!B52,0)</f>
        <v>19889</v>
      </c>
      <c r="S32" s="56" t="n">
        <f aca="false">I32+R32+W32+AC32+AD32</f>
        <v>41774</v>
      </c>
      <c r="T32" s="55" t="n">
        <f aca="false">IF(U32&lt;P32*3,0,IF(U32&lt;P32*6,ROUND((Q32+R32+W32+AC32+AD32)*0.75*Assumptions!B113,0),ROUND((Q32+R32+W32+AC32+AD32)*0.75*Assumptions!B114,0)))</f>
        <v>11320</v>
      </c>
      <c r="U32" s="56" t="n">
        <f aca="false">U31+Q32+R32+W32+AC32+AD32</f>
        <v>279110</v>
      </c>
      <c r="V32" s="57" t="str">
        <f aca="false">IF(AB32&gt;=Assumptions!B107,"Signal 6",IF(AB32&gt;=Assumptions!B106,"Signal 5",IF(AB32&gt;=Assumptions!B105,"Signal 4",IF(AB32&gt;=Assumptions!B104,"Signal 3",IF(AB32&gt;=Assumptions!B103,"Signal 2",IF(AB32&gt;=Assumptions!B102,"Signal 1","Pre-Signal 1"))))))</f>
        <v>Signal 3</v>
      </c>
      <c r="W32" s="55" t="n">
        <f aca="false">ROUND(AB32*Assumptions!B137*Assumptions!B138*Assumptions!B139*Assumptions!B136,0)</f>
        <v>2216</v>
      </c>
      <c r="X32" s="55" t="n">
        <f aca="false">ROUND(AB32*Assumptions!B137*Assumptions!B65,0)</f>
        <v>364</v>
      </c>
      <c r="Y32" s="32" t="n">
        <f aca="false">ROUND(Y31*(1+Assumptions!B165),0)</f>
        <v>1202</v>
      </c>
      <c r="Z32" s="33" t="n">
        <f aca="false">Assumptions!B158</f>
        <v>400</v>
      </c>
      <c r="AA32" s="32" t="n">
        <f aca="false">ROUND(Y32*Assumptions!B166,0)</f>
        <v>4</v>
      </c>
      <c r="AB32" s="34" t="n">
        <f aca="false">B32+Z32+AA32</f>
        <v>56825.7680322146</v>
      </c>
      <c r="AC32" s="35" t="n">
        <f aca="false">ROUND(IF(A32&gt;=Assumptions!B144,(IF(A32&gt;=25,Assumptions!B151,IF(A32&gt;=16,Assumptions!B150,Assumptions!B149))/1000*Assumptions!B146)+IF(A32&gt;=Assumptions!B145,(IF(A32&gt;=25,Assumptions!B151,IF(A32&gt;=16,Assumptions!B150,Assumptions!B149))*Assumptions!B152/1000*Assumptions!B147),0),0),0)</f>
        <v>76</v>
      </c>
      <c r="AD32" s="35" t="n">
        <f aca="false">IF(Y32&gt;=10000,Assumptions!B170,IF(Y32&gt;=5000,Assumptions!B169,IF(Y32&gt;=2000,Assumptions!B168,IF(Y32&gt;=500,Assumptions!B167,0))))</f>
        <v>5</v>
      </c>
    </row>
    <row r="33" customFormat="false" ht="15" hidden="false" customHeight="false" outlineLevel="0" collapsed="false">
      <c r="A33" s="36" t="n">
        <v>28</v>
      </c>
      <c r="B33" s="37" t="n">
        <f aca="false">B32*(1+Assumptions!B35)</f>
        <v>64885.0332370468</v>
      </c>
      <c r="C33" s="38" t="n">
        <f aca="false">ROUND(AB33*Assumptions!B25,0)</f>
        <v>1306</v>
      </c>
      <c r="D33" s="38" t="n">
        <f aca="false">ROUND(AB33*Assumptions!B24,0)</f>
        <v>326</v>
      </c>
      <c r="E33" s="38" t="n">
        <f aca="false">E32+D33-F33</f>
        <v>1965</v>
      </c>
      <c r="F33" s="38" t="n">
        <f aca="false">ROUND(E32*Assumptions!B45,0)</f>
        <v>68</v>
      </c>
      <c r="G33" s="38" t="n">
        <f aca="false">D33-F33</f>
        <v>258</v>
      </c>
      <c r="H33" s="39" t="n">
        <f aca="false">ROUND(E33*(Assumptions!B15*0.85+Assumptions!B11*0.15),0)</f>
        <v>22548</v>
      </c>
      <c r="I33" s="39" t="n">
        <f aca="false">H33</f>
        <v>22548</v>
      </c>
      <c r="J33" s="38" t="n">
        <f aca="false">ROUND(E33*Assumptions!B68,0)</f>
        <v>6878</v>
      </c>
      <c r="K33" s="39" t="n">
        <f aca="false">ROUND(J33*Assumptions!B65,0)</f>
        <v>550</v>
      </c>
      <c r="L33" s="39" t="n">
        <f aca="false">Assumptions!B70+IF(E33&gt;Assumptions!B72,45,0)</f>
        <v>76</v>
      </c>
      <c r="M33" s="39" t="n">
        <f aca="false">Assumptions!B76+Assumptions!B77</f>
        <v>35</v>
      </c>
      <c r="N33" s="39" t="n">
        <f aca="false">Assumptions!B81+Assumptions!B82+Assumptions!B87/12+Assumptions!B148</f>
        <v>116</v>
      </c>
      <c r="O33" s="39" t="n">
        <f aca="false">ROUND(I33*Assumptions!B85+E33*Assumptions!B86+W33*Assumptions!B85+ROUND(AB33*Assumptions!B137*Assumptions!B138*Assumptions!B139,0)*Assumptions!B86,0)</f>
        <v>1376</v>
      </c>
      <c r="P33" s="39" t="n">
        <f aca="false">K33+L33+M33+N33+O33+X33</f>
        <v>2571</v>
      </c>
      <c r="Q33" s="39" t="n">
        <f aca="false">I33-P33</f>
        <v>19977</v>
      </c>
      <c r="R33" s="39" t="n">
        <f aca="false">ROUND(AB33*Assumptions!B51*Assumptions!B52,0)</f>
        <v>22851</v>
      </c>
      <c r="S33" s="40" t="n">
        <f aca="false">I33+R33+W33+AC33+AD33</f>
        <v>48026</v>
      </c>
      <c r="T33" s="39" t="n">
        <f aca="false">IF(U33&lt;P33*3,0,IF(U33&lt;P33*6,ROUND((Q33+R33+W33+AC33+AD33)*0.75*Assumptions!B113,0),ROUND((Q33+R33+W33+AC33+AD33)*0.75*Assumptions!B114,0)))</f>
        <v>13023</v>
      </c>
      <c r="U33" s="40" t="n">
        <f aca="false">U32+Q33+R33+W33+AC33+AD33</f>
        <v>324565</v>
      </c>
      <c r="V33" s="41" t="str">
        <f aca="false">IF(AB33&gt;=Assumptions!B107,"Signal 6",IF(AB33&gt;=Assumptions!B106,"Signal 5",IF(AB33&gt;=Assumptions!B105,"Signal 4",IF(AB33&gt;=Assumptions!B104,"Signal 3",IF(AB33&gt;=Assumptions!B103,"Signal 2",IF(AB33&gt;=Assumptions!B102,"Signal 1","Pre-Signal 1"))))))</f>
        <v>Signal 4</v>
      </c>
      <c r="W33" s="39" t="n">
        <f aca="false">ROUND(AB33*Assumptions!B137*Assumptions!B138*Assumptions!B139*Assumptions!B136,0)</f>
        <v>2546</v>
      </c>
      <c r="X33" s="39" t="n">
        <f aca="false">ROUND(AB33*Assumptions!B137*Assumptions!B65,0)</f>
        <v>418</v>
      </c>
      <c r="Y33" s="32" t="n">
        <f aca="false">ROUND(Y32*(1+Assumptions!B165),0)</f>
        <v>1322</v>
      </c>
      <c r="Z33" s="33" t="n">
        <f aca="false">Assumptions!B158</f>
        <v>400</v>
      </c>
      <c r="AA33" s="32" t="n">
        <f aca="false">ROUND(Y33*Assumptions!B166,0)</f>
        <v>4</v>
      </c>
      <c r="AB33" s="34" t="n">
        <f aca="false">B33+Z33+AA33</f>
        <v>65289.0332370468</v>
      </c>
      <c r="AC33" s="35" t="n">
        <f aca="false">ROUND(IF(A33&gt;=Assumptions!B144,(IF(A33&gt;=25,Assumptions!B151,IF(A33&gt;=16,Assumptions!B150,Assumptions!B149))/1000*Assumptions!B146)+IF(A33&gt;=Assumptions!B145,(IF(A33&gt;=25,Assumptions!B151,IF(A33&gt;=16,Assumptions!B150,Assumptions!B149))*Assumptions!B152/1000*Assumptions!B147),0),0),0)</f>
        <v>76</v>
      </c>
      <c r="AD33" s="35" t="n">
        <f aca="false">IF(Y33&gt;=10000,Assumptions!B170,IF(Y33&gt;=5000,Assumptions!B169,IF(Y33&gt;=2000,Assumptions!B168,IF(Y33&gt;=500,Assumptions!B167,0))))</f>
        <v>5</v>
      </c>
    </row>
    <row r="34" customFormat="false" ht="15" hidden="false" customHeight="false" outlineLevel="0" collapsed="false">
      <c r="A34" s="52" t="n">
        <v>29</v>
      </c>
      <c r="B34" s="53" t="n">
        <f aca="false">B33*(1+Assumptions!B35)</f>
        <v>74617.7882226038</v>
      </c>
      <c r="C34" s="54" t="n">
        <f aca="false">ROUND(AB34*Assumptions!B25,0)</f>
        <v>1500</v>
      </c>
      <c r="D34" s="54" t="n">
        <f aca="false">ROUND(AB34*Assumptions!B24,0)</f>
        <v>375</v>
      </c>
      <c r="E34" s="54" t="n">
        <f aca="false">E33+D34-F34</f>
        <v>2261</v>
      </c>
      <c r="F34" s="54" t="n">
        <f aca="false">ROUND(E33*Assumptions!B45,0)</f>
        <v>79</v>
      </c>
      <c r="G34" s="54" t="n">
        <f aca="false">D34-F34</f>
        <v>296</v>
      </c>
      <c r="H34" s="55" t="n">
        <f aca="false">ROUND(E34*(Assumptions!B15*0.85+Assumptions!B11*0.15),0)</f>
        <v>25945</v>
      </c>
      <c r="I34" s="55" t="n">
        <f aca="false">H34</f>
        <v>25945</v>
      </c>
      <c r="J34" s="54" t="n">
        <f aca="false">ROUND(E34*Assumptions!B68,0)</f>
        <v>7914</v>
      </c>
      <c r="K34" s="55" t="n">
        <f aca="false">ROUND(J34*Assumptions!B65,0)</f>
        <v>633</v>
      </c>
      <c r="L34" s="55" t="n">
        <f aca="false">Assumptions!B70+IF(E34&gt;Assumptions!B72,45,0)</f>
        <v>76</v>
      </c>
      <c r="M34" s="55" t="n">
        <f aca="false">Assumptions!B76+Assumptions!B77</f>
        <v>35</v>
      </c>
      <c r="N34" s="55" t="n">
        <f aca="false">Assumptions!B81+Assumptions!B82+Assumptions!B87/12+Assumptions!B148</f>
        <v>116</v>
      </c>
      <c r="O34" s="55" t="n">
        <f aca="false">ROUND(I34*Assumptions!B85+E34*Assumptions!B86+W34*Assumptions!B85+ROUND(AB34*Assumptions!B137*Assumptions!B138*Assumptions!B139,0)*Assumptions!B86,0)</f>
        <v>1583</v>
      </c>
      <c r="P34" s="55" t="n">
        <f aca="false">K34+L34+M34+N34+O34+X34</f>
        <v>2923</v>
      </c>
      <c r="Q34" s="55" t="n">
        <f aca="false">I34-P34</f>
        <v>23022</v>
      </c>
      <c r="R34" s="55" t="n">
        <f aca="false">ROUND(AB34*Assumptions!B51*Assumptions!B52,0)</f>
        <v>26258</v>
      </c>
      <c r="S34" s="56" t="n">
        <f aca="false">I34+R34+W34+AC34+AD34</f>
        <v>55210</v>
      </c>
      <c r="T34" s="55" t="n">
        <f aca="false">IF(U34&lt;P34*3,0,IF(U34&lt;P34*6,ROUND((Q34+R34+W34+AC34+AD34)*0.75*Assumptions!B113,0),ROUND((Q34+R34+W34+AC34+AD34)*0.75*Assumptions!B114,0)))</f>
        <v>14980</v>
      </c>
      <c r="U34" s="56" t="n">
        <f aca="false">U33+Q34+R34+W34+AC34+AD34</f>
        <v>376852</v>
      </c>
      <c r="V34" s="57" t="str">
        <f aca="false">IF(AB34&gt;=Assumptions!B107,"Signal 6",IF(AB34&gt;=Assumptions!B106,"Signal 5",IF(AB34&gt;=Assumptions!B105,"Signal 4",IF(AB34&gt;=Assumptions!B104,"Signal 3",IF(AB34&gt;=Assumptions!B103,"Signal 2",IF(AB34&gt;=Assumptions!B102,"Signal 1","Pre-Signal 1"))))))</f>
        <v>Signal 4</v>
      </c>
      <c r="W34" s="55" t="n">
        <f aca="false">ROUND(AB34*Assumptions!B137*Assumptions!B138*Assumptions!B139*Assumptions!B136,0)</f>
        <v>2926</v>
      </c>
      <c r="X34" s="55" t="n">
        <f aca="false">ROUND(AB34*Assumptions!B137*Assumptions!B65,0)</f>
        <v>480</v>
      </c>
      <c r="Y34" s="32" t="n">
        <f aca="false">ROUND(Y33*(1+Assumptions!B165),0)</f>
        <v>1454</v>
      </c>
      <c r="Z34" s="33" t="n">
        <f aca="false">Assumptions!B158</f>
        <v>400</v>
      </c>
      <c r="AA34" s="32" t="n">
        <f aca="false">ROUND(Y34*Assumptions!B166,0)</f>
        <v>4</v>
      </c>
      <c r="AB34" s="34" t="n">
        <f aca="false">B34+Z34+AA34</f>
        <v>75021.7882226038</v>
      </c>
      <c r="AC34" s="35" t="n">
        <f aca="false">ROUND(IF(A34&gt;=Assumptions!B144,(IF(A34&gt;=25,Assumptions!B151,IF(A34&gt;=16,Assumptions!B150,Assumptions!B149))/1000*Assumptions!B146)+IF(A34&gt;=Assumptions!B145,(IF(A34&gt;=25,Assumptions!B151,IF(A34&gt;=16,Assumptions!B150,Assumptions!B149))*Assumptions!B152/1000*Assumptions!B147),0),0),0)</f>
        <v>76</v>
      </c>
      <c r="AD34" s="35" t="n">
        <f aca="false">IF(Y34&gt;=10000,Assumptions!B170,IF(Y34&gt;=5000,Assumptions!B169,IF(Y34&gt;=2000,Assumptions!B168,IF(Y34&gt;=500,Assumptions!B167,0))))</f>
        <v>5</v>
      </c>
    </row>
    <row r="35" customFormat="false" ht="15" hidden="false" customHeight="false" outlineLevel="0" collapsed="false">
      <c r="A35" s="36" t="n">
        <v>30</v>
      </c>
      <c r="B35" s="37" t="n">
        <f aca="false">B34*(1+Assumptions!B35)</f>
        <v>85810.4564559944</v>
      </c>
      <c r="C35" s="38" t="n">
        <f aca="false">ROUND(AB35*Assumptions!B25,0)</f>
        <v>1724</v>
      </c>
      <c r="D35" s="38" t="n">
        <f aca="false">ROUND(AB35*Assumptions!B24,0)</f>
        <v>431</v>
      </c>
      <c r="E35" s="38" t="n">
        <f aca="false">E34+D35-F35</f>
        <v>2602</v>
      </c>
      <c r="F35" s="38" t="n">
        <f aca="false">ROUND(E34*Assumptions!B45,0)</f>
        <v>90</v>
      </c>
      <c r="G35" s="38" t="n">
        <f aca="false">D35-F35</f>
        <v>341</v>
      </c>
      <c r="H35" s="39" t="n">
        <f aca="false">ROUND(E35*(Assumptions!B15*0.85+Assumptions!B11*0.15),0)</f>
        <v>29858</v>
      </c>
      <c r="I35" s="39" t="n">
        <f aca="false">H35</f>
        <v>29858</v>
      </c>
      <c r="J35" s="38" t="n">
        <f aca="false">ROUND(E35*Assumptions!B68,0)</f>
        <v>9107</v>
      </c>
      <c r="K35" s="39" t="n">
        <f aca="false">ROUND(J35*Assumptions!B65,0)</f>
        <v>729</v>
      </c>
      <c r="L35" s="39" t="n">
        <f aca="false">Assumptions!B70+IF(E35&gt;Assumptions!B72,45,0)</f>
        <v>76</v>
      </c>
      <c r="M35" s="39" t="n">
        <f aca="false">Assumptions!B76+Assumptions!B77</f>
        <v>35</v>
      </c>
      <c r="N35" s="39" t="n">
        <f aca="false">Assumptions!B81+Assumptions!B82+Assumptions!B87/12+Assumptions!B148</f>
        <v>116</v>
      </c>
      <c r="O35" s="39" t="n">
        <f aca="false">ROUND(I35*Assumptions!B85+E35*Assumptions!B86+W35*Assumptions!B85+ROUND(AB35*Assumptions!B137*Assumptions!B138*Assumptions!B139,0)*Assumptions!B86,0)</f>
        <v>1822</v>
      </c>
      <c r="P35" s="39" t="n">
        <f aca="false">K35+L35+M35+N35+O35+X35</f>
        <v>3330</v>
      </c>
      <c r="Q35" s="39" t="n">
        <f aca="false">I35-P35</f>
        <v>26528</v>
      </c>
      <c r="R35" s="39" t="n">
        <f aca="false">ROUND(AB35*Assumptions!B51*Assumptions!B52,0)</f>
        <v>30175</v>
      </c>
      <c r="S35" s="40" t="n">
        <f aca="false">I35+R35+W35+AC35+AD35</f>
        <v>63476</v>
      </c>
      <c r="T35" s="39" t="n">
        <f aca="false">IF(U35&lt;P35*3,0,IF(U35&lt;P35*6,ROUND((Q35+R35+W35+AC35+AD35)*0.75*Assumptions!B113,0),ROUND((Q35+R35+W35+AC35+AD35)*0.75*Assumptions!B114,0)))</f>
        <v>17232</v>
      </c>
      <c r="U35" s="40" t="n">
        <f aca="false">U34+Q35+R35+W35+AC35+AD35</f>
        <v>436998</v>
      </c>
      <c r="V35" s="41" t="str">
        <f aca="false">IF(AB35&gt;=Assumptions!B107,"Signal 6",IF(AB35&gt;=Assumptions!B106,"Signal 5",IF(AB35&gt;=Assumptions!B105,"Signal 4",IF(AB35&gt;=Assumptions!B104,"Signal 3",IF(AB35&gt;=Assumptions!B103,"Signal 2",IF(AB35&gt;=Assumptions!B102,"Signal 1","Pre-Signal 1"))))))</f>
        <v>Signal 4</v>
      </c>
      <c r="W35" s="39" t="n">
        <f aca="false">ROUND(AB35*Assumptions!B137*Assumptions!B138*Assumptions!B139*Assumptions!B136,0)</f>
        <v>3362</v>
      </c>
      <c r="X35" s="39" t="n">
        <f aca="false">ROUND(AB35*Assumptions!B137*Assumptions!B65,0)</f>
        <v>552</v>
      </c>
      <c r="Y35" s="32" t="n">
        <f aca="false">ROUND(Y34*(1+Assumptions!B165),0)</f>
        <v>1599</v>
      </c>
      <c r="Z35" s="33" t="n">
        <f aca="false">Assumptions!B158</f>
        <v>400</v>
      </c>
      <c r="AA35" s="32" t="n">
        <f aca="false">ROUND(Y35*Assumptions!B166,0)</f>
        <v>5</v>
      </c>
      <c r="AB35" s="34" t="n">
        <f aca="false">B35+Z35+AA35</f>
        <v>86215.4564559944</v>
      </c>
      <c r="AC35" s="35" t="n">
        <f aca="false">ROUND(IF(A35&gt;=Assumptions!B144,(IF(A35&gt;=25,Assumptions!B151,IF(A35&gt;=16,Assumptions!B150,Assumptions!B149))/1000*Assumptions!B146)+IF(A35&gt;=Assumptions!B145,(IF(A35&gt;=25,Assumptions!B151,IF(A35&gt;=16,Assumptions!B150,Assumptions!B149))*Assumptions!B152/1000*Assumptions!B147),0),0),0)</f>
        <v>76</v>
      </c>
      <c r="AD35" s="35" t="n">
        <f aca="false">IF(Y35&gt;=10000,Assumptions!B170,IF(Y35&gt;=5000,Assumptions!B169,IF(Y35&gt;=2000,Assumptions!B168,IF(Y35&gt;=500,Assumptions!B167,0))))</f>
        <v>5</v>
      </c>
    </row>
    <row r="36" customFormat="false" ht="15" hidden="false" customHeight="false" outlineLevel="0" collapsed="false">
      <c r="A36" s="52" t="n">
        <v>31</v>
      </c>
      <c r="B36" s="53" t="n">
        <f aca="false">B35*(1+Assumptions!B35)</f>
        <v>98682.0249243935</v>
      </c>
      <c r="C36" s="54" t="n">
        <f aca="false">ROUND(AB36*Assumptions!B25,0)</f>
        <v>1982</v>
      </c>
      <c r="D36" s="54" t="n">
        <f aca="false">ROUND(AB36*Assumptions!B24,0)</f>
        <v>495</v>
      </c>
      <c r="E36" s="54" t="n">
        <f aca="false">E35+D36-F36</f>
        <v>2993</v>
      </c>
      <c r="F36" s="54" t="n">
        <f aca="false">ROUND(E35*Assumptions!B45,0)</f>
        <v>104</v>
      </c>
      <c r="G36" s="54" t="n">
        <f aca="false">D36-F36</f>
        <v>391</v>
      </c>
      <c r="H36" s="55" t="n">
        <f aca="false">ROUND(E36*(Assumptions!B15*0.85+Assumptions!B11*0.15),0)</f>
        <v>34345</v>
      </c>
      <c r="I36" s="55" t="n">
        <f aca="false">H36</f>
        <v>34345</v>
      </c>
      <c r="J36" s="54" t="n">
        <f aca="false">ROUND(E36*Assumptions!B68,0)</f>
        <v>10476</v>
      </c>
      <c r="K36" s="55" t="n">
        <f aca="false">ROUND(J36*Assumptions!B65,0)</f>
        <v>838</v>
      </c>
      <c r="L36" s="55" t="n">
        <f aca="false">Assumptions!B70+IF(E36&gt;Assumptions!B72,45,0)</f>
        <v>76</v>
      </c>
      <c r="M36" s="55" t="n">
        <f aca="false">Assumptions!B76+Assumptions!B77</f>
        <v>35</v>
      </c>
      <c r="N36" s="55" t="n">
        <f aca="false">Assumptions!B81+Assumptions!B82+Assumptions!B87/12+Assumptions!B148</f>
        <v>116</v>
      </c>
      <c r="O36" s="55" t="n">
        <f aca="false">ROUND(I36*Assumptions!B85+E36*Assumptions!B86+W36*Assumptions!B85+ROUND(AB36*Assumptions!B137*Assumptions!B138*Assumptions!B139,0)*Assumptions!B86,0)</f>
        <v>2095</v>
      </c>
      <c r="P36" s="55" t="n">
        <f aca="false">K36+L36+M36+N36+O36+X36</f>
        <v>3794</v>
      </c>
      <c r="Q36" s="55" t="n">
        <f aca="false">I36-P36</f>
        <v>30551</v>
      </c>
      <c r="R36" s="55" t="n">
        <f aca="false">ROUND(AB36*Assumptions!B51*Assumptions!B52,0)</f>
        <v>34680</v>
      </c>
      <c r="S36" s="56" t="n">
        <f aca="false">I36+R36+W36+AC36+AD36</f>
        <v>72970</v>
      </c>
      <c r="T36" s="55" t="n">
        <f aca="false">IF(U36&lt;P36*3,0,IF(U36&lt;P36*6,ROUND((Q36+R36+W36+AC36+AD36)*0.75*Assumptions!B113,0),ROUND((Q36+R36+W36+AC36+AD36)*0.75*Assumptions!B114,0)))</f>
        <v>19819</v>
      </c>
      <c r="U36" s="56" t="n">
        <f aca="false">U35+Q36+R36+W36+AC36+AD36</f>
        <v>506174</v>
      </c>
      <c r="V36" s="57" t="str">
        <f aca="false">IF(AB36&gt;=Assumptions!B107,"Signal 6",IF(AB36&gt;=Assumptions!B106,"Signal 5",IF(AB36&gt;=Assumptions!B105,"Signal 4",IF(AB36&gt;=Assumptions!B104,"Signal 3",IF(AB36&gt;=Assumptions!B103,"Signal 2",IF(AB36&gt;=Assumptions!B102,"Signal 1","Pre-Signal 1"))))))</f>
        <v>Signal 4</v>
      </c>
      <c r="W36" s="55" t="n">
        <f aca="false">ROUND(AB36*Assumptions!B137*Assumptions!B138*Assumptions!B139*Assumptions!B136,0)</f>
        <v>3864</v>
      </c>
      <c r="X36" s="55" t="n">
        <f aca="false">ROUND(AB36*Assumptions!B137*Assumptions!B65,0)</f>
        <v>634</v>
      </c>
      <c r="Y36" s="32" t="n">
        <f aca="false">ROUND(Y35*(1+Assumptions!B165),0)</f>
        <v>1759</v>
      </c>
      <c r="Z36" s="33" t="n">
        <f aca="false">Assumptions!B158</f>
        <v>400</v>
      </c>
      <c r="AA36" s="32" t="n">
        <f aca="false">ROUND(Y36*Assumptions!B166,0)</f>
        <v>5</v>
      </c>
      <c r="AB36" s="34" t="n">
        <f aca="false">B36+Z36+AA36</f>
        <v>99087.0249243935</v>
      </c>
      <c r="AC36" s="35" t="n">
        <f aca="false">ROUND(IF(A36&gt;=Assumptions!B144,(IF(A36&gt;=25,Assumptions!B151,IF(A36&gt;=16,Assumptions!B150,Assumptions!B149))/1000*Assumptions!B146)+IF(A36&gt;=Assumptions!B145,(IF(A36&gt;=25,Assumptions!B151,IF(A36&gt;=16,Assumptions!B150,Assumptions!B149))*Assumptions!B152/1000*Assumptions!B147),0),0),0)</f>
        <v>76</v>
      </c>
      <c r="AD36" s="35" t="n">
        <f aca="false">IF(Y36&gt;=10000,Assumptions!B170,IF(Y36&gt;=5000,Assumptions!B169,IF(Y36&gt;=2000,Assumptions!B168,IF(Y36&gt;=500,Assumptions!B167,0))))</f>
        <v>5</v>
      </c>
    </row>
    <row r="37" customFormat="false" ht="15" hidden="false" customHeight="false" outlineLevel="0" collapsed="false">
      <c r="A37" s="36" t="n">
        <v>32</v>
      </c>
      <c r="B37" s="37" t="n">
        <f aca="false">B36*(1+Assumptions!B35)</f>
        <v>113484.328663053</v>
      </c>
      <c r="C37" s="38" t="n">
        <f aca="false">ROUND(AB37*Assumptions!B25,0)</f>
        <v>2278</v>
      </c>
      <c r="D37" s="38" t="n">
        <f aca="false">ROUND(AB37*Assumptions!B24,0)</f>
        <v>569</v>
      </c>
      <c r="E37" s="38" t="n">
        <f aca="false">E36+D37-F37</f>
        <v>3442</v>
      </c>
      <c r="F37" s="38" t="n">
        <f aca="false">ROUND(E36*Assumptions!B45,0)</f>
        <v>120</v>
      </c>
      <c r="G37" s="38" t="n">
        <f aca="false">D37-F37</f>
        <v>449</v>
      </c>
      <c r="H37" s="39" t="n">
        <f aca="false">ROUND(E37*(Assumptions!B15*0.85+Assumptions!B11*0.15),0)</f>
        <v>39497</v>
      </c>
      <c r="I37" s="39" t="n">
        <f aca="false">H37</f>
        <v>39497</v>
      </c>
      <c r="J37" s="38" t="n">
        <f aca="false">ROUND(E37*Assumptions!B68,0)</f>
        <v>12047</v>
      </c>
      <c r="K37" s="39" t="n">
        <f aca="false">ROUND(J37*Assumptions!B65,0)</f>
        <v>964</v>
      </c>
      <c r="L37" s="39" t="n">
        <f aca="false">Assumptions!B70+IF(E37&gt;Assumptions!B72,45,0)</f>
        <v>76</v>
      </c>
      <c r="M37" s="39" t="n">
        <f aca="false">Assumptions!B76+Assumptions!B77</f>
        <v>35</v>
      </c>
      <c r="N37" s="39" t="n">
        <f aca="false">Assumptions!B81+Assumptions!B82+Assumptions!B87/12+Assumptions!B148</f>
        <v>116</v>
      </c>
      <c r="O37" s="39" t="n">
        <f aca="false">ROUND(I37*Assumptions!B85+E37*Assumptions!B86+W37*Assumptions!B85+ROUND(AB37*Assumptions!B137*Assumptions!B138*Assumptions!B139,0)*Assumptions!B86,0)</f>
        <v>2409</v>
      </c>
      <c r="P37" s="39" t="n">
        <f aca="false">K37+L37+M37+N37+O37+X37</f>
        <v>4329</v>
      </c>
      <c r="Q37" s="39" t="n">
        <f aca="false">I37-P37</f>
        <v>35168</v>
      </c>
      <c r="R37" s="39" t="n">
        <f aca="false">ROUND(AB37*Assumptions!B51*Assumptions!B52,0)</f>
        <v>39862</v>
      </c>
      <c r="S37" s="40" t="n">
        <f aca="false">I37+R37+W37+AC37+AD37</f>
        <v>83882</v>
      </c>
      <c r="T37" s="39" t="n">
        <f aca="false">IF(U37&lt;P37*3,0,IF(U37&lt;P37*6,ROUND((Q37+R37+W37+AC37+AD37)*0.75*Assumptions!B113,0),ROUND((Q37+R37+W37+AC37+AD37)*0.75*Assumptions!B114,0)))</f>
        <v>22792</v>
      </c>
      <c r="U37" s="40" t="n">
        <f aca="false">U36+Q37+R37+W37+AC37+AD37</f>
        <v>585727</v>
      </c>
      <c r="V37" s="41" t="str">
        <f aca="false">IF(AB37&gt;=Assumptions!B107,"Signal 6",IF(AB37&gt;=Assumptions!B106,"Signal 5",IF(AB37&gt;=Assumptions!B105,"Signal 4",IF(AB37&gt;=Assumptions!B104,"Signal 3",IF(AB37&gt;=Assumptions!B103,"Signal 2",IF(AB37&gt;=Assumptions!B102,"Signal 1","Pre-Signal 1"))))))</f>
        <v>Signal 5</v>
      </c>
      <c r="W37" s="39" t="n">
        <f aca="false">ROUND(AB37*Assumptions!B137*Assumptions!B138*Assumptions!B139*Assumptions!B136,0)</f>
        <v>4442</v>
      </c>
      <c r="X37" s="39" t="n">
        <f aca="false">ROUND(AB37*Assumptions!B137*Assumptions!B65,0)</f>
        <v>729</v>
      </c>
      <c r="Y37" s="32" t="n">
        <f aca="false">ROUND(Y36*(1+Assumptions!B165),0)</f>
        <v>1935</v>
      </c>
      <c r="Z37" s="33" t="n">
        <f aca="false">Assumptions!B158</f>
        <v>400</v>
      </c>
      <c r="AA37" s="32" t="n">
        <f aca="false">ROUND(Y37*Assumptions!B166,0)</f>
        <v>6</v>
      </c>
      <c r="AB37" s="34" t="n">
        <f aca="false">B37+Z37+AA37</f>
        <v>113890.328663053</v>
      </c>
      <c r="AC37" s="35" t="n">
        <f aca="false">ROUND(IF(A37&gt;=Assumptions!B144,(IF(A37&gt;=25,Assumptions!B151,IF(A37&gt;=16,Assumptions!B150,Assumptions!B149))/1000*Assumptions!B146)+IF(A37&gt;=Assumptions!B145,(IF(A37&gt;=25,Assumptions!B151,IF(A37&gt;=16,Assumptions!B150,Assumptions!B149))*Assumptions!B152/1000*Assumptions!B147),0),0),0)</f>
        <v>76</v>
      </c>
      <c r="AD37" s="35" t="n">
        <f aca="false">IF(Y37&gt;=10000,Assumptions!B170,IF(Y37&gt;=5000,Assumptions!B169,IF(Y37&gt;=2000,Assumptions!B168,IF(Y37&gt;=500,Assumptions!B167,0))))</f>
        <v>5</v>
      </c>
    </row>
    <row r="38" customFormat="false" ht="15" hidden="false" customHeight="false" outlineLevel="0" collapsed="false">
      <c r="A38" s="52" t="n">
        <v>33</v>
      </c>
      <c r="B38" s="53" t="n">
        <f aca="false">B37*(1+Assumptions!B35)</f>
        <v>130506.97796251</v>
      </c>
      <c r="C38" s="54" t="n">
        <f aca="false">ROUND(AB38*Assumptions!B25,0)</f>
        <v>2618</v>
      </c>
      <c r="D38" s="54" t="n">
        <f aca="false">ROUND(AB38*Assumptions!B24,0)</f>
        <v>655</v>
      </c>
      <c r="E38" s="54" t="n">
        <f aca="false">E37+D38-F38</f>
        <v>3959</v>
      </c>
      <c r="F38" s="54" t="n">
        <f aca="false">ROUND(E37*Assumptions!B45,0)</f>
        <v>138</v>
      </c>
      <c r="G38" s="54" t="n">
        <f aca="false">D38-F38</f>
        <v>517</v>
      </c>
      <c r="H38" s="55" t="n">
        <f aca="false">ROUND(E38*(Assumptions!B15*0.85+Assumptions!B11*0.15),0)</f>
        <v>45430</v>
      </c>
      <c r="I38" s="55" t="n">
        <f aca="false">H38</f>
        <v>45430</v>
      </c>
      <c r="J38" s="54" t="n">
        <f aca="false">ROUND(E38*Assumptions!B68,0)</f>
        <v>13857</v>
      </c>
      <c r="K38" s="55" t="n">
        <f aca="false">ROUND(J38*Assumptions!B65,0)</f>
        <v>1109</v>
      </c>
      <c r="L38" s="55" t="n">
        <f aca="false">Assumptions!B70+IF(E38&gt;Assumptions!B72,45,0)</f>
        <v>76</v>
      </c>
      <c r="M38" s="55" t="n">
        <f aca="false">Assumptions!B76+Assumptions!B77</f>
        <v>35</v>
      </c>
      <c r="N38" s="55" t="n">
        <f aca="false">Assumptions!B81+Assumptions!B82+Assumptions!B87/12+Assumptions!B148</f>
        <v>116</v>
      </c>
      <c r="O38" s="55" t="n">
        <f aca="false">ROUND(I38*Assumptions!B85+E38*Assumptions!B86+W38*Assumptions!B85+ROUND(AB38*Assumptions!B137*Assumptions!B138*Assumptions!B139,0)*Assumptions!B86,0)</f>
        <v>2771</v>
      </c>
      <c r="P38" s="55" t="n">
        <f aca="false">K38+L38+M38+N38+O38+X38</f>
        <v>4945</v>
      </c>
      <c r="Q38" s="55" t="n">
        <f aca="false">I38-P38</f>
        <v>40485</v>
      </c>
      <c r="R38" s="55" t="n">
        <f aca="false">ROUND(AB38*Assumptions!B51*Assumptions!B52,0)</f>
        <v>45820</v>
      </c>
      <c r="S38" s="56" t="n">
        <f aca="false">I38+R38+W38+AC38+AD38</f>
        <v>96452</v>
      </c>
      <c r="T38" s="55" t="n">
        <f aca="false">IF(U38&lt;P38*3,0,IF(U38&lt;P38*6,ROUND((Q38+R38+W38+AC38+AD38)*0.75*Assumptions!B113,0),ROUND((Q38+R38+W38+AC38+AD38)*0.75*Assumptions!B114,0)))</f>
        <v>26217</v>
      </c>
      <c r="U38" s="56" t="n">
        <f aca="false">U37+Q38+R38+W38+AC38+AD38</f>
        <v>677234</v>
      </c>
      <c r="V38" s="57" t="str">
        <f aca="false">IF(AB38&gt;=Assumptions!B107,"Signal 6",IF(AB38&gt;=Assumptions!B106,"Signal 5",IF(AB38&gt;=Assumptions!B105,"Signal 4",IF(AB38&gt;=Assumptions!B104,"Signal 3",IF(AB38&gt;=Assumptions!B103,"Signal 2",IF(AB38&gt;=Assumptions!B102,"Signal 1","Pre-Signal 1"))))))</f>
        <v>Signal 5</v>
      </c>
      <c r="W38" s="55" t="n">
        <f aca="false">ROUND(AB38*Assumptions!B137*Assumptions!B138*Assumptions!B139*Assumptions!B136,0)</f>
        <v>5106</v>
      </c>
      <c r="X38" s="55" t="n">
        <f aca="false">ROUND(AB38*Assumptions!B137*Assumptions!B65,0)</f>
        <v>838</v>
      </c>
      <c r="Y38" s="32" t="n">
        <f aca="false">ROUND(Y37*(1+Assumptions!B165),0)</f>
        <v>2129</v>
      </c>
      <c r="Z38" s="33" t="n">
        <f aca="false">Assumptions!B158</f>
        <v>400</v>
      </c>
      <c r="AA38" s="32" t="n">
        <f aca="false">ROUND(Y38*Assumptions!B166,0)</f>
        <v>6</v>
      </c>
      <c r="AB38" s="34" t="n">
        <f aca="false">B38+Z38+AA38</f>
        <v>130912.97796251</v>
      </c>
      <c r="AC38" s="35" t="n">
        <f aca="false">ROUND(IF(A38&gt;=Assumptions!B144,(IF(A38&gt;=25,Assumptions!B151,IF(A38&gt;=16,Assumptions!B150,Assumptions!B149))/1000*Assumptions!B146)+IF(A38&gt;=Assumptions!B145,(IF(A38&gt;=25,Assumptions!B151,IF(A38&gt;=16,Assumptions!B150,Assumptions!B149))*Assumptions!B152/1000*Assumptions!B147),0),0),0)</f>
        <v>76</v>
      </c>
      <c r="AD38" s="35" t="n">
        <f aca="false">IF(Y38&gt;=10000,Assumptions!B170,IF(Y38&gt;=5000,Assumptions!B169,IF(Y38&gt;=2000,Assumptions!B168,IF(Y38&gt;=500,Assumptions!B167,0))))</f>
        <v>20</v>
      </c>
    </row>
    <row r="39" customFormat="false" ht="15" hidden="false" customHeight="false" outlineLevel="0" collapsed="false">
      <c r="A39" s="36" t="n">
        <v>34</v>
      </c>
      <c r="B39" s="37" t="n">
        <f aca="false">B38*(1+Assumptions!B35)</f>
        <v>150083.024656887</v>
      </c>
      <c r="C39" s="38" t="n">
        <f aca="false">ROUND(AB39*Assumptions!B25,0)</f>
        <v>3010</v>
      </c>
      <c r="D39" s="38" t="n">
        <f aca="false">ROUND(AB39*Assumptions!B24,0)</f>
        <v>752</v>
      </c>
      <c r="E39" s="38" t="n">
        <f aca="false">E38+D39-F39</f>
        <v>4553</v>
      </c>
      <c r="F39" s="38" t="n">
        <f aca="false">ROUND(E38*Assumptions!B45,0)</f>
        <v>158</v>
      </c>
      <c r="G39" s="38" t="n">
        <f aca="false">D39-F39</f>
        <v>594</v>
      </c>
      <c r="H39" s="39" t="n">
        <f aca="false">ROUND(E39*(Assumptions!B15*0.85+Assumptions!B11*0.15),0)</f>
        <v>52246</v>
      </c>
      <c r="I39" s="39" t="n">
        <f aca="false">H39</f>
        <v>52246</v>
      </c>
      <c r="J39" s="38" t="n">
        <f aca="false">ROUND(E39*Assumptions!B68,0)</f>
        <v>15936</v>
      </c>
      <c r="K39" s="39" t="n">
        <f aca="false">ROUND(J39*Assumptions!B65,0)</f>
        <v>1275</v>
      </c>
      <c r="L39" s="39" t="n">
        <f aca="false">Assumptions!B70+IF(E39&gt;Assumptions!B72,45,0)</f>
        <v>76</v>
      </c>
      <c r="M39" s="39" t="n">
        <f aca="false">Assumptions!B76+Assumptions!B77</f>
        <v>35</v>
      </c>
      <c r="N39" s="39" t="n">
        <f aca="false">Assumptions!B81+Assumptions!B82+Assumptions!B87/12+Assumptions!B148</f>
        <v>116</v>
      </c>
      <c r="O39" s="39" t="n">
        <f aca="false">ROUND(I39*Assumptions!B85+E39*Assumptions!B86+W39*Assumptions!B85+ROUND(AB39*Assumptions!B137*Assumptions!B138*Assumptions!B139,0)*Assumptions!B86,0)</f>
        <v>3187</v>
      </c>
      <c r="P39" s="39" t="n">
        <f aca="false">K39+L39+M39+N39+O39+X39</f>
        <v>5652</v>
      </c>
      <c r="Q39" s="39" t="n">
        <f aca="false">I39-P39</f>
        <v>46594</v>
      </c>
      <c r="R39" s="39" t="n">
        <f aca="false">ROUND(AB39*Assumptions!B51*Assumptions!B52,0)</f>
        <v>52672</v>
      </c>
      <c r="S39" s="40" t="n">
        <f aca="false">I39+R39+W39+AC39+AD39</f>
        <v>110883</v>
      </c>
      <c r="T39" s="39" t="n">
        <f aca="false">IF(U39&lt;P39*3,0,IF(U39&lt;P39*6,ROUND((Q39+R39+W39+AC39+AD39)*0.75*Assumptions!B113,0),ROUND((Q39+R39+W39+AC39+AD39)*0.75*Assumptions!B114,0)))</f>
        <v>30149</v>
      </c>
      <c r="U39" s="40" t="n">
        <f aca="false">U38+Q39+R39+W39+AC39+AD39</f>
        <v>782465</v>
      </c>
      <c r="V39" s="41" t="str">
        <f aca="false">IF(AB39&gt;=Assumptions!B107,"Signal 6",IF(AB39&gt;=Assumptions!B106,"Signal 5",IF(AB39&gt;=Assumptions!B105,"Signal 4",IF(AB39&gt;=Assumptions!B104,"Signal 3",IF(AB39&gt;=Assumptions!B103,"Signal 2",IF(AB39&gt;=Assumptions!B102,"Signal 1","Pre-Signal 1"))))))</f>
        <v>Signal 5</v>
      </c>
      <c r="W39" s="39" t="n">
        <f aca="false">ROUND(AB39*Assumptions!B137*Assumptions!B138*Assumptions!B139*Assumptions!B136,0)</f>
        <v>5869</v>
      </c>
      <c r="X39" s="39" t="n">
        <f aca="false">ROUND(AB39*Assumptions!B137*Assumptions!B65,0)</f>
        <v>963</v>
      </c>
      <c r="Y39" s="32" t="n">
        <f aca="false">ROUND(Y38*(1+Assumptions!B165),0)</f>
        <v>2342</v>
      </c>
      <c r="Z39" s="33" t="n">
        <f aca="false">Assumptions!B158</f>
        <v>400</v>
      </c>
      <c r="AA39" s="32" t="n">
        <f aca="false">ROUND(Y39*Assumptions!B166,0)</f>
        <v>7</v>
      </c>
      <c r="AB39" s="34" t="n">
        <f aca="false">B39+Z39+AA39</f>
        <v>150490.024656887</v>
      </c>
      <c r="AC39" s="35" t="n">
        <f aca="false">ROUND(IF(A39&gt;=Assumptions!B144,(IF(A39&gt;=25,Assumptions!B151,IF(A39&gt;=16,Assumptions!B150,Assumptions!B149))/1000*Assumptions!B146)+IF(A39&gt;=Assumptions!B145,(IF(A39&gt;=25,Assumptions!B151,IF(A39&gt;=16,Assumptions!B150,Assumptions!B149))*Assumptions!B152/1000*Assumptions!B147),0),0),0)</f>
        <v>76</v>
      </c>
      <c r="AD39" s="35" t="n">
        <f aca="false">IF(Y39&gt;=10000,Assumptions!B170,IF(Y39&gt;=5000,Assumptions!B169,IF(Y39&gt;=2000,Assumptions!B168,IF(Y39&gt;=500,Assumptions!B167,0))))</f>
        <v>20</v>
      </c>
    </row>
    <row r="40" customFormat="false" ht="15" hidden="false" customHeight="false" outlineLevel="0" collapsed="false">
      <c r="A40" s="52" t="n">
        <v>35</v>
      </c>
      <c r="B40" s="53" t="n">
        <f aca="false">B39*(1+Assumptions!B35)</f>
        <v>172595.47835542</v>
      </c>
      <c r="C40" s="54" t="n">
        <f aca="false">ROUND(AB40*Assumptions!B25,0)</f>
        <v>3460</v>
      </c>
      <c r="D40" s="54" t="n">
        <f aca="false">ROUND(AB40*Assumptions!B24,0)</f>
        <v>865</v>
      </c>
      <c r="E40" s="54" t="n">
        <f aca="false">E39+D40-F40</f>
        <v>5236</v>
      </c>
      <c r="F40" s="54" t="n">
        <f aca="false">ROUND(E39*Assumptions!B45,0)</f>
        <v>182</v>
      </c>
      <c r="G40" s="54" t="n">
        <f aca="false">D40-F40</f>
        <v>683</v>
      </c>
      <c r="H40" s="55" t="n">
        <f aca="false">ROUND(E40*(Assumptions!B15*0.85+Assumptions!B11*0.15),0)</f>
        <v>60083</v>
      </c>
      <c r="I40" s="55" t="n">
        <f aca="false">H40</f>
        <v>60083</v>
      </c>
      <c r="J40" s="54" t="n">
        <f aca="false">ROUND(E40*Assumptions!B68,0)</f>
        <v>18326</v>
      </c>
      <c r="K40" s="55" t="n">
        <f aca="false">ROUND(J40*Assumptions!B65,0)</f>
        <v>1466</v>
      </c>
      <c r="L40" s="55" t="n">
        <f aca="false">Assumptions!B70+IF(E40&gt;Assumptions!B72,45,0)</f>
        <v>76</v>
      </c>
      <c r="M40" s="55" t="n">
        <f aca="false">Assumptions!B76+Assumptions!B77</f>
        <v>35</v>
      </c>
      <c r="N40" s="55" t="n">
        <f aca="false">Assumptions!B81+Assumptions!B82+Assumptions!B87/12+Assumptions!B148</f>
        <v>116</v>
      </c>
      <c r="O40" s="55" t="n">
        <f aca="false">ROUND(I40*Assumptions!B85+E40*Assumptions!B86+W40*Assumptions!B85+ROUND(AB40*Assumptions!B137*Assumptions!B138*Assumptions!B139,0)*Assumptions!B86,0)</f>
        <v>3665</v>
      </c>
      <c r="P40" s="55" t="n">
        <f aca="false">K40+L40+M40+N40+O40+X40</f>
        <v>6465</v>
      </c>
      <c r="Q40" s="55" t="n">
        <f aca="false">I40-P40</f>
        <v>53618</v>
      </c>
      <c r="R40" s="55" t="n">
        <f aca="false">ROUND(AB40*Assumptions!B51*Assumptions!B52,0)</f>
        <v>60551</v>
      </c>
      <c r="S40" s="56" t="n">
        <f aca="false">I40+R40+W40+AC40+AD40</f>
        <v>127477</v>
      </c>
      <c r="T40" s="55" t="n">
        <f aca="false">IF(U40&lt;P40*3,0,IF(U40&lt;P40*6,ROUND((Q40+R40+W40+AC40+AD40)*0.75*Assumptions!B113,0),ROUND((Q40+R40+W40+AC40+AD40)*0.75*Assumptions!B114,0)))</f>
        <v>34670</v>
      </c>
      <c r="U40" s="56" t="n">
        <f aca="false">U39+Q40+R40+W40+AC40+AD40</f>
        <v>903477</v>
      </c>
      <c r="V40" s="57" t="str">
        <f aca="false">IF(AB40&gt;=Assumptions!B107,"Signal 6",IF(AB40&gt;=Assumptions!B106,"Signal 5",IF(AB40&gt;=Assumptions!B105,"Signal 4",IF(AB40&gt;=Assumptions!B104,"Signal 3",IF(AB40&gt;=Assumptions!B103,"Signal 2",IF(AB40&gt;=Assumptions!B102,"Signal 1","Pre-Signal 1"))))))</f>
        <v>Signal 5</v>
      </c>
      <c r="W40" s="55" t="n">
        <f aca="false">ROUND(AB40*Assumptions!B137*Assumptions!B138*Assumptions!B139*Assumptions!B136,0)</f>
        <v>6747</v>
      </c>
      <c r="X40" s="55" t="n">
        <f aca="false">ROUND(AB40*Assumptions!B137*Assumptions!B65,0)</f>
        <v>1107</v>
      </c>
      <c r="Y40" s="32" t="n">
        <f aca="false">ROUND(Y39*(1+Assumptions!B165),0)</f>
        <v>2576</v>
      </c>
      <c r="Z40" s="33" t="n">
        <f aca="false">Assumptions!B158</f>
        <v>400</v>
      </c>
      <c r="AA40" s="32" t="n">
        <f aca="false">ROUND(Y40*Assumptions!B166,0)</f>
        <v>8</v>
      </c>
      <c r="AB40" s="34" t="n">
        <f aca="false">B40+Z40+AA40</f>
        <v>173003.47835542</v>
      </c>
      <c r="AC40" s="35" t="n">
        <f aca="false">ROUND(IF(A40&gt;=Assumptions!B144,(IF(A40&gt;=25,Assumptions!B151,IF(A40&gt;=16,Assumptions!B150,Assumptions!B149))/1000*Assumptions!B146)+IF(A40&gt;=Assumptions!B145,(IF(A40&gt;=25,Assumptions!B151,IF(A40&gt;=16,Assumptions!B150,Assumptions!B149))*Assumptions!B152/1000*Assumptions!B147),0),0),0)</f>
        <v>76</v>
      </c>
      <c r="AD40" s="35" t="n">
        <f aca="false">IF(Y40&gt;=10000,Assumptions!B170,IF(Y40&gt;=5000,Assumptions!B169,IF(Y40&gt;=2000,Assumptions!B168,IF(Y40&gt;=500,Assumptions!B167,0))))</f>
        <v>20</v>
      </c>
    </row>
    <row r="41" customFormat="false" ht="15" hidden="false" customHeight="false" outlineLevel="0" collapsed="false">
      <c r="A41" s="36" t="n">
        <v>36</v>
      </c>
      <c r="B41" s="37" t="n">
        <f aca="false">B40*(1+Assumptions!B35)</f>
        <v>198484.800108733</v>
      </c>
      <c r="C41" s="38" t="n">
        <f aca="false">ROUND(AB41*Assumptions!B25,0)</f>
        <v>3978</v>
      </c>
      <c r="D41" s="38" t="n">
        <f aca="false">ROUND(AB41*Assumptions!B24,0)</f>
        <v>994</v>
      </c>
      <c r="E41" s="38" t="n">
        <f aca="false">E40+D41-F41</f>
        <v>6021</v>
      </c>
      <c r="F41" s="38" t="n">
        <f aca="false">ROUND(E40*Assumptions!B45,0)</f>
        <v>209</v>
      </c>
      <c r="G41" s="38" t="n">
        <f aca="false">D41-F41</f>
        <v>785</v>
      </c>
      <c r="H41" s="39" t="n">
        <f aca="false">ROUND(E41*(Assumptions!B15*0.85+Assumptions!B11*0.15),0)</f>
        <v>69091</v>
      </c>
      <c r="I41" s="39" t="n">
        <f aca="false">H41</f>
        <v>69091</v>
      </c>
      <c r="J41" s="38" t="n">
        <f aca="false">ROUND(E41*Assumptions!B68,0)</f>
        <v>21074</v>
      </c>
      <c r="K41" s="39" t="n">
        <f aca="false">ROUND(J41*Assumptions!B65,0)</f>
        <v>1686</v>
      </c>
      <c r="L41" s="39" t="n">
        <f aca="false">Assumptions!B70+IF(E41&gt;Assumptions!B72,45,0)</f>
        <v>76</v>
      </c>
      <c r="M41" s="39" t="n">
        <f aca="false">Assumptions!B76+Assumptions!B77</f>
        <v>35</v>
      </c>
      <c r="N41" s="39" t="n">
        <f aca="false">Assumptions!B81+Assumptions!B82+Assumptions!B87/12+Assumptions!B148</f>
        <v>116</v>
      </c>
      <c r="O41" s="39" t="n">
        <f aca="false">ROUND(I41*Assumptions!B85+E41*Assumptions!B86+W41*Assumptions!B85+ROUND(AB41*Assumptions!B137*Assumptions!B138*Assumptions!B139,0)*Assumptions!B86,0)</f>
        <v>4214</v>
      </c>
      <c r="P41" s="39" t="n">
        <f aca="false">K41+L41+M41+N41+O41+X41</f>
        <v>7400</v>
      </c>
      <c r="Q41" s="39" t="n">
        <f aca="false">I41-P41</f>
        <v>61691</v>
      </c>
      <c r="R41" s="39" t="n">
        <f aca="false">ROUND(AB41*Assumptions!B51*Assumptions!B52,0)</f>
        <v>69613</v>
      </c>
      <c r="S41" s="40" t="n">
        <f aca="false">I41+R41+W41+AC41+AD41</f>
        <v>146557</v>
      </c>
      <c r="T41" s="39" t="n">
        <f aca="false">IF(U41&lt;P41*3,0,IF(U41&lt;P41*6,ROUND((Q41+R41+W41+AC41+AD41)*0.75*Assumptions!B113,0),ROUND((Q41+R41+W41+AC41+AD41)*0.75*Assumptions!B114,0)))</f>
        <v>39868</v>
      </c>
      <c r="U41" s="40" t="n">
        <f aca="false">U40+Q41+R41+W41+AC41+AD41</f>
        <v>1042634</v>
      </c>
      <c r="V41" s="41" t="str">
        <f aca="false">IF(AB41&gt;=Assumptions!B107,"Signal 6",IF(AB41&gt;=Assumptions!B106,"Signal 5",IF(AB41&gt;=Assumptions!B105,"Signal 4",IF(AB41&gt;=Assumptions!B104,"Signal 3",IF(AB41&gt;=Assumptions!B103,"Signal 2",IF(AB41&gt;=Assumptions!B102,"Signal 1","Pre-Signal 1"))))))</f>
        <v>Signal 6</v>
      </c>
      <c r="W41" s="39" t="n">
        <f aca="false">ROUND(AB41*Assumptions!B137*Assumptions!B138*Assumptions!B139*Assumptions!B136,0)</f>
        <v>7757</v>
      </c>
      <c r="X41" s="39" t="n">
        <f aca="false">ROUND(AB41*Assumptions!B137*Assumptions!B65,0)</f>
        <v>1273</v>
      </c>
      <c r="Y41" s="32" t="n">
        <f aca="false">ROUND(Y40*(1+Assumptions!B165),0)</f>
        <v>2834</v>
      </c>
      <c r="Z41" s="33" t="n">
        <f aca="false">Assumptions!B158</f>
        <v>400</v>
      </c>
      <c r="AA41" s="32" t="n">
        <f aca="false">ROUND(Y41*Assumptions!B166,0)</f>
        <v>9</v>
      </c>
      <c r="AB41" s="34" t="n">
        <f aca="false">B41+Z41+AA41</f>
        <v>198893.800108733</v>
      </c>
      <c r="AC41" s="35" t="n">
        <f aca="false">ROUND(IF(A41&gt;=Assumptions!B144,(IF(A41&gt;=25,Assumptions!B151,IF(A41&gt;=16,Assumptions!B150,Assumptions!B149))/1000*Assumptions!B146)+IF(A41&gt;=Assumptions!B145,(IF(A41&gt;=25,Assumptions!B151,IF(A41&gt;=16,Assumptions!B150,Assumptions!B149))*Assumptions!B152/1000*Assumptions!B147),0),0),0)</f>
        <v>76</v>
      </c>
      <c r="AD41" s="35" t="n">
        <f aca="false">IF(Y41&gt;=10000,Assumptions!B170,IF(Y41&gt;=5000,Assumptions!B169,IF(Y41&gt;=2000,Assumptions!B168,IF(Y41&gt;=500,Assumptions!B167,0))))</f>
        <v>20</v>
      </c>
    </row>
    <row r="43" customFormat="false" ht="15" hidden="false" customHeight="false" outlineLevel="0" collapsed="false">
      <c r="A43" s="42" t="s">
        <v>323</v>
      </c>
      <c r="I43" s="43" t="n">
        <f aca="false">SUM(I6:I41)</f>
        <v>517537</v>
      </c>
      <c r="P43" s="43" t="n">
        <f aca="false">SUM(P6:P41)</f>
        <v>64014</v>
      </c>
      <c r="Q43" s="43" t="n">
        <f aca="false">SUM(Q6:Q41)</f>
        <v>453523</v>
      </c>
      <c r="R43" s="43" t="n">
        <f aca="false">SUM(R6:R41)</f>
        <v>528369</v>
      </c>
      <c r="S43" s="43" t="n">
        <f aca="false">SUM(S6:S41)</f>
        <v>1106648</v>
      </c>
      <c r="T43" s="43" t="n">
        <f aca="false">SUM(T6:T41)</f>
        <v>298563</v>
      </c>
      <c r="W43" s="43" t="n">
        <f aca="false">SUM(W6:W41)</f>
        <v>59224</v>
      </c>
      <c r="X43" s="43" t="n">
        <f aca="false">SUM(X6:X41)</f>
        <v>9719</v>
      </c>
      <c r="AC43" s="43" t="n">
        <f aca="false">SUM(AC6:AC41)</f>
        <v>1363</v>
      </c>
      <c r="AD43" s="43" t="n">
        <f aca="false">SUM(AD6:AD41)</f>
        <v>155</v>
      </c>
    </row>
    <row r="44" customFormat="false" ht="15" hidden="false" customHeight="false" outlineLevel="0" collapsed="false">
      <c r="A44" s="3" t="s">
        <v>324</v>
      </c>
      <c r="H44" s="44" t="n">
        <f aca="false">AVERAGE(H6:H41)</f>
        <v>14376.0277777778</v>
      </c>
      <c r="Q44" s="44" t="n">
        <f aca="false">AVERAGE(Q6:Q41)</f>
        <v>12597.8611111111</v>
      </c>
    </row>
    <row r="45" customFormat="false" ht="15" hidden="false" customHeight="false" outlineLevel="0" collapsed="false">
      <c r="A45" s="3" t="s">
        <v>325</v>
      </c>
      <c r="B45" s="45" t="n">
        <f aca="false">AB41</f>
        <v>198893.800108733</v>
      </c>
      <c r="E45" s="45" t="n">
        <f aca="false">E41</f>
        <v>6021</v>
      </c>
      <c r="H45" s="44" t="n">
        <f aca="false">H41</f>
        <v>69091</v>
      </c>
      <c r="S45" s="44" t="n">
        <f aca="false">S41</f>
        <v>146557</v>
      </c>
      <c r="T45" s="44" t="n">
        <f aca="false">T41</f>
        <v>39868</v>
      </c>
      <c r="U45" s="44" t="n">
        <f aca="false">U41</f>
        <v>1042634</v>
      </c>
      <c r="V45" s="0" t="str">
        <f aca="false">V41</f>
        <v>Signal 6</v>
      </c>
      <c r="AC45" s="44" t="n">
        <f aca="false">AC41</f>
        <v>76</v>
      </c>
      <c r="AD45" s="44" t="n">
        <f aca="false">AD41</f>
        <v>20</v>
      </c>
    </row>
  </sheetData>
  <mergeCells count="3">
    <mergeCell ref="A1:AD1"/>
    <mergeCell ref="A2:AD2"/>
    <mergeCell ref="A3:A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58" t="s">
        <v>330</v>
      </c>
      <c r="B1" s="58"/>
      <c r="C1" s="58"/>
      <c r="D1" s="58"/>
      <c r="E1" s="58"/>
    </row>
    <row r="2" customFormat="false" ht="15" hidden="false" customHeight="false" outlineLevel="0" collapsed="false">
      <c r="A2" s="14" t="s">
        <v>331</v>
      </c>
    </row>
    <row r="3" customFormat="false" ht="15" hidden="false" customHeight="false" outlineLevel="0" collapsed="false">
      <c r="A3" s="59" t="s">
        <v>332</v>
      </c>
      <c r="B3" s="59" t="s">
        <v>4</v>
      </c>
      <c r="C3" s="59" t="s">
        <v>333</v>
      </c>
      <c r="D3" s="59" t="s">
        <v>334</v>
      </c>
      <c r="E3" s="59" t="s">
        <v>335</v>
      </c>
    </row>
    <row r="4" customFormat="false" ht="15" hidden="false" customHeight="false" outlineLevel="0" collapsed="false">
      <c r="A4" s="60" t="s">
        <v>336</v>
      </c>
      <c r="B4" s="60" t="s">
        <v>337</v>
      </c>
      <c r="C4" s="61" t="n">
        <f aca="false">Assumptions!B22</f>
        <v>0.0015</v>
      </c>
      <c r="D4" s="62" t="str">
        <f aca="false">IF(Assumptions!B22=0.0015,"PASS","FAIL")</f>
        <v>PASS</v>
      </c>
      <c r="E4" s="63" t="s">
        <v>338</v>
      </c>
    </row>
    <row r="5" customFormat="false" ht="15" hidden="false" customHeight="false" outlineLevel="0" collapsed="false">
      <c r="A5" s="60" t="s">
        <v>339</v>
      </c>
      <c r="B5" s="60" t="s">
        <v>340</v>
      </c>
      <c r="C5" s="61" t="n">
        <f aca="false">Assumptions!B23</f>
        <v>0.0025</v>
      </c>
      <c r="D5" s="62" t="str">
        <f aca="false">IF(Assumptions!B23=0.0025,"PASS","FAIL")</f>
        <v>PASS</v>
      </c>
      <c r="E5" s="63" t="s">
        <v>338</v>
      </c>
    </row>
    <row r="6" customFormat="false" ht="15" hidden="false" customHeight="false" outlineLevel="0" collapsed="false">
      <c r="A6" s="60" t="s">
        <v>341</v>
      </c>
      <c r="B6" s="60" t="s">
        <v>342</v>
      </c>
      <c r="C6" s="61" t="n">
        <f aca="false">Assumptions!B24</f>
        <v>0.005</v>
      </c>
      <c r="D6" s="62" t="str">
        <f aca="false">IF(Assumptions!B24=0.005,"PASS","FAIL")</f>
        <v>PASS</v>
      </c>
      <c r="E6" s="63" t="s">
        <v>338</v>
      </c>
    </row>
    <row r="7" customFormat="false" ht="15" hidden="false" customHeight="false" outlineLevel="0" collapsed="false">
      <c r="A7" s="60" t="s">
        <v>343</v>
      </c>
      <c r="B7" s="60" t="s">
        <v>344</v>
      </c>
      <c r="C7" s="61" t="n">
        <f aca="false">Assumptions!B25</f>
        <v>0.02</v>
      </c>
      <c r="D7" s="62" t="str">
        <f aca="false">IF(AND(Assumptions!B25&gt;Assumptions!B22,Assumptions!B25&gt;Assumptions!B23,Assumptions!B25&gt;Assumptions!B24),"PASS","FAIL")</f>
        <v>PASS</v>
      </c>
      <c r="E7" s="63" t="s">
        <v>345</v>
      </c>
    </row>
    <row r="8" customFormat="false" ht="15" hidden="false" customHeight="false" outlineLevel="0" collapsed="false">
      <c r="A8" s="60" t="s">
        <v>346</v>
      </c>
      <c r="B8" s="60" t="s">
        <v>347</v>
      </c>
      <c r="C8" s="61" t="n">
        <f aca="false">Assumptions!B33</f>
        <v>0.08</v>
      </c>
      <c r="D8" s="62" t="str">
        <f aca="false">IF(Assumptions!B33=0.08,"PASS","FAIL")</f>
        <v>PASS</v>
      </c>
      <c r="E8" s="63" t="s">
        <v>348</v>
      </c>
    </row>
    <row r="9" customFormat="false" ht="15" hidden="false" customHeight="false" outlineLevel="0" collapsed="false">
      <c r="A9" s="60" t="s">
        <v>349</v>
      </c>
      <c r="B9" s="60" t="s">
        <v>350</v>
      </c>
      <c r="C9" s="61" t="n">
        <f aca="false">Assumptions!B34</f>
        <v>0.12</v>
      </c>
      <c r="D9" s="62" t="str">
        <f aca="false">IF(Assumptions!B34=0.12,"PASS","FAIL")</f>
        <v>PASS</v>
      </c>
      <c r="E9" s="63" t="s">
        <v>348</v>
      </c>
    </row>
    <row r="10" customFormat="false" ht="15" hidden="false" customHeight="false" outlineLevel="0" collapsed="false">
      <c r="A10" s="60" t="s">
        <v>351</v>
      </c>
      <c r="B10" s="60" t="s">
        <v>352</v>
      </c>
      <c r="C10" s="61" t="n">
        <f aca="false">Assumptions!B35</f>
        <v>0.15</v>
      </c>
      <c r="D10" s="62" t="str">
        <f aca="false">IF(Assumptions!B35=0.15,"PASS","FAIL")</f>
        <v>PASS</v>
      </c>
      <c r="E10" s="63" t="s">
        <v>353</v>
      </c>
    </row>
    <row r="11" customFormat="false" ht="15" hidden="false" customHeight="false" outlineLevel="0" collapsed="false">
      <c r="A11" s="60" t="s">
        <v>354</v>
      </c>
      <c r="B11" s="60" t="s">
        <v>347</v>
      </c>
      <c r="C11" s="61" t="n">
        <f aca="false">Assumptions!B43</f>
        <v>0.08</v>
      </c>
      <c r="D11" s="62" t="str">
        <f aca="false">IF(Assumptions!B43=0.08,"PASS","FAIL")</f>
        <v>PASS</v>
      </c>
      <c r="E11" s="63" t="s">
        <v>355</v>
      </c>
    </row>
    <row r="12" customFormat="false" ht="15" hidden="false" customHeight="false" outlineLevel="0" collapsed="false">
      <c r="A12" s="60" t="s">
        <v>356</v>
      </c>
      <c r="B12" s="60" t="s">
        <v>357</v>
      </c>
      <c r="C12" s="61" t="n">
        <f aca="false">Assumptions!B44</f>
        <v>0.06</v>
      </c>
      <c r="D12" s="62" t="str">
        <f aca="false">IF(Assumptions!B44=0.06,"PASS","FAIL")</f>
        <v>PASS</v>
      </c>
      <c r="E12" s="63" t="s">
        <v>355</v>
      </c>
    </row>
    <row r="13" customFormat="false" ht="15" hidden="false" customHeight="false" outlineLevel="0" collapsed="false">
      <c r="A13" s="60" t="s">
        <v>358</v>
      </c>
      <c r="B13" s="60" t="s">
        <v>359</v>
      </c>
      <c r="C13" s="61" t="n">
        <f aca="false">Assumptions!B45</f>
        <v>0.04</v>
      </c>
      <c r="D13" s="62" t="str">
        <f aca="false">IF(Assumptions!B45=0.04,"PASS","FAIL")</f>
        <v>PASS</v>
      </c>
      <c r="E13" s="63" t="s">
        <v>355</v>
      </c>
    </row>
    <row r="14" customFormat="false" ht="15" hidden="false" customHeight="false" outlineLevel="0" collapsed="false">
      <c r="A14" s="60" t="s">
        <v>360</v>
      </c>
      <c r="B14" s="60" t="s">
        <v>361</v>
      </c>
      <c r="C14" s="60" t="n">
        <f aca="false">Assumptions!B50</f>
        <v>6</v>
      </c>
      <c r="D14" s="62" t="str">
        <f aca="false">IF(Assumptions!B50=6,"PASS","FAIL")</f>
        <v>PASS</v>
      </c>
      <c r="E14" s="63" t="s">
        <v>362</v>
      </c>
    </row>
    <row r="15" customFormat="false" ht="15" hidden="false" customHeight="false" outlineLevel="0" collapsed="false">
      <c r="A15" s="60" t="s">
        <v>363</v>
      </c>
      <c r="B15" s="60" t="s">
        <v>364</v>
      </c>
      <c r="C15" s="60" t="n">
        <f aca="false">Assumptions!B102</f>
        <v>10000</v>
      </c>
      <c r="D15" s="62" t="str">
        <f aca="false">IF(Assumptions!B102=10000,"PASS","FAIL")</f>
        <v>PASS</v>
      </c>
      <c r="E15" s="63" t="s">
        <v>365</v>
      </c>
    </row>
    <row r="16" customFormat="false" ht="15" hidden="false" customHeight="false" outlineLevel="0" collapsed="false">
      <c r="A16" s="60" t="s">
        <v>366</v>
      </c>
      <c r="B16" s="60" t="s">
        <v>367</v>
      </c>
      <c r="C16" s="60" t="n">
        <f aca="false">Assumptions!B103</f>
        <v>25000</v>
      </c>
      <c r="D16" s="62" t="str">
        <f aca="false">IF(Assumptions!B103=25000,"PASS","FAIL")</f>
        <v>PASS</v>
      </c>
      <c r="E16" s="63" t="s">
        <v>365</v>
      </c>
    </row>
    <row r="17" customFormat="false" ht="15" hidden="false" customHeight="false" outlineLevel="0" collapsed="false">
      <c r="A17" s="60" t="s">
        <v>368</v>
      </c>
      <c r="B17" s="60" t="s">
        <v>369</v>
      </c>
      <c r="C17" s="60" t="n">
        <f aca="false">Assumptions!B104</f>
        <v>40000</v>
      </c>
      <c r="D17" s="62" t="str">
        <f aca="false">IF(Assumptions!B104=40000,"PASS","FAIL")</f>
        <v>PASS</v>
      </c>
      <c r="E17" s="63" t="s">
        <v>365</v>
      </c>
    </row>
    <row r="18" customFormat="false" ht="15" hidden="false" customHeight="false" outlineLevel="0" collapsed="false">
      <c r="A18" s="60" t="s">
        <v>370</v>
      </c>
      <c r="B18" s="60" t="s">
        <v>371</v>
      </c>
      <c r="C18" s="60" t="n">
        <f aca="false">Assumptions!B105</f>
        <v>65000</v>
      </c>
      <c r="D18" s="62" t="str">
        <f aca="false">IF(Assumptions!B105=65000,"PASS","FAIL")</f>
        <v>PASS</v>
      </c>
      <c r="E18" s="63" t="s">
        <v>365</v>
      </c>
    </row>
    <row r="19" customFormat="false" ht="15" hidden="false" customHeight="false" outlineLevel="0" collapsed="false">
      <c r="A19" s="60" t="s">
        <v>372</v>
      </c>
      <c r="B19" s="60" t="s">
        <v>373</v>
      </c>
      <c r="C19" s="60" t="n">
        <f aca="false">Assumptions!B106</f>
        <v>110000</v>
      </c>
      <c r="D19" s="62" t="str">
        <f aca="false">IF(Assumptions!B106=110000,"PASS","FAIL")</f>
        <v>PASS</v>
      </c>
      <c r="E19" s="63" t="s">
        <v>365</v>
      </c>
    </row>
    <row r="20" customFormat="false" ht="15" hidden="false" customHeight="false" outlineLevel="0" collapsed="false">
      <c r="A20" s="60" t="s">
        <v>374</v>
      </c>
      <c r="B20" s="60" t="s">
        <v>375</v>
      </c>
      <c r="C20" s="61" t="n">
        <f aca="false">Assumptions!B112</f>
        <v>0</v>
      </c>
      <c r="D20" s="62" t="str">
        <f aca="false">IF(Assumptions!B112=0,"PASS","FAIL")</f>
        <v>PASS</v>
      </c>
      <c r="E20" s="63" t="s">
        <v>376</v>
      </c>
    </row>
    <row r="21" customFormat="false" ht="15" hidden="false" customHeight="false" outlineLevel="0" collapsed="false">
      <c r="A21" s="60" t="s">
        <v>377</v>
      </c>
      <c r="B21" s="60" t="s">
        <v>378</v>
      </c>
      <c r="C21" s="60" t="n">
        <f aca="false">Assumptions!B132</f>
        <v>12</v>
      </c>
      <c r="D21" s="62" t="str">
        <f aca="false">IF(Assumptions!B132=12,"PASS","FAIL")</f>
        <v>PASS</v>
      </c>
      <c r="E21" s="63" t="s">
        <v>379</v>
      </c>
    </row>
    <row r="22" customFormat="false" ht="15" hidden="false" customHeight="false" outlineLevel="0" collapsed="false">
      <c r="A22" s="60" t="s">
        <v>380</v>
      </c>
      <c r="B22" s="60" t="s">
        <v>381</v>
      </c>
      <c r="C22" s="64" t="n">
        <f aca="false">Conservative!U41</f>
        <v>50924</v>
      </c>
      <c r="D22" s="62" t="str">
        <f aca="false">IF(Conservative!U41&gt;0,"PASS","FAIL")</f>
        <v>PASS</v>
      </c>
      <c r="E22" s="63" t="s">
        <v>382</v>
      </c>
    </row>
    <row r="23" customFormat="false" ht="15" hidden="false" customHeight="false" outlineLevel="0" collapsed="false">
      <c r="A23" s="60" t="s">
        <v>383</v>
      </c>
      <c r="B23" s="60" t="s">
        <v>381</v>
      </c>
      <c r="C23" s="64" t="n">
        <f aca="false">Expected!U41</f>
        <v>254020</v>
      </c>
      <c r="D23" s="62" t="str">
        <f aca="false">IF(Expected!U41&gt;0,"PASS","FAIL")</f>
        <v>PASS</v>
      </c>
      <c r="E23" s="63" t="s">
        <v>384</v>
      </c>
    </row>
    <row r="24" customFormat="false" ht="15" hidden="false" customHeight="false" outlineLevel="0" collapsed="false">
      <c r="A24" s="60" t="s">
        <v>385</v>
      </c>
      <c r="B24" s="60" t="s">
        <v>386</v>
      </c>
      <c r="C24" s="65" t="n">
        <f aca="false">Conservative!E41</f>
        <v>99</v>
      </c>
      <c r="D24" s="62" t="str">
        <f aca="false">IF(Conservative!E41&gt;0,"PASS","FAIL")</f>
        <v>PASS</v>
      </c>
      <c r="E24" s="63" t="s">
        <v>387</v>
      </c>
    </row>
    <row r="25" customFormat="false" ht="15" hidden="false" customHeight="false" outlineLevel="0" collapsed="false">
      <c r="A25" s="60" t="s">
        <v>388</v>
      </c>
      <c r="B25" s="60" t="s">
        <v>389</v>
      </c>
      <c r="C25" s="64" t="n">
        <f aca="false">Conservative!Q41</f>
        <v>783</v>
      </c>
      <c r="D25" s="62" t="str">
        <f aca="false">IF(Conservative!Q41&gt;0,"PASS","FAIL")</f>
        <v>PASS</v>
      </c>
      <c r="E25" s="63" t="s">
        <v>390</v>
      </c>
    </row>
    <row r="26" customFormat="false" ht="15" hidden="false" customHeight="false" outlineLevel="0" collapsed="false">
      <c r="A26" s="60" t="s">
        <v>391</v>
      </c>
      <c r="B26" s="60" t="s">
        <v>392</v>
      </c>
      <c r="C26" s="64" t="n">
        <f aca="false">Optimistic!H41</f>
        <v>69091</v>
      </c>
      <c r="D26" s="62" t="str">
        <f aca="false">IF(Optimistic!H41&gt;Conservative!H41,"PASS","FAIL")</f>
        <v>PASS</v>
      </c>
      <c r="E26" s="63" t="s">
        <v>393</v>
      </c>
    </row>
    <row r="27" customFormat="false" ht="15" hidden="false" customHeight="false" outlineLevel="0" collapsed="false">
      <c r="A27" s="60" t="s">
        <v>394</v>
      </c>
      <c r="B27" s="60" t="s">
        <v>395</v>
      </c>
      <c r="C27" s="64" t="n">
        <f aca="false">Assumptions!B136</f>
        <v>13</v>
      </c>
      <c r="D27" s="62" t="str">
        <f aca="false">IF(Assumptions!B136=13,"PASS","FAIL")</f>
        <v>PASS</v>
      </c>
      <c r="E27" s="63" t="s">
        <v>396</v>
      </c>
    </row>
    <row r="28" customFormat="false" ht="15" hidden="false" customHeight="false" outlineLevel="0" collapsed="false">
      <c r="A28" s="60" t="s">
        <v>397</v>
      </c>
      <c r="B28" s="60" t="s">
        <v>347</v>
      </c>
      <c r="C28" s="61" t="n">
        <f aca="false">Assumptions!B137</f>
        <v>0.08</v>
      </c>
      <c r="D28" s="62" t="str">
        <f aca="false">IF(Assumptions!B137=0.08,"PASS","FAIL")</f>
        <v>PASS</v>
      </c>
      <c r="E28" s="63" t="s">
        <v>398</v>
      </c>
    </row>
    <row r="29" customFormat="false" ht="15" hidden="false" customHeight="false" outlineLevel="0" collapsed="false">
      <c r="A29" s="60" t="s">
        <v>399</v>
      </c>
      <c r="B29" s="60" t="s">
        <v>381</v>
      </c>
      <c r="C29" s="64" t="n">
        <f aca="false">Expected!W17</f>
        <v>140</v>
      </c>
      <c r="D29" s="62" t="str">
        <f aca="false">IF(Expected!W17&gt;0,"PASS","FAIL")</f>
        <v>PASS</v>
      </c>
      <c r="E29" s="63" t="s">
        <v>400</v>
      </c>
    </row>
    <row r="30" customFormat="false" ht="15" hidden="false" customHeight="false" outlineLevel="0" collapsed="false">
      <c r="A30" s="60" t="s">
        <v>401</v>
      </c>
      <c r="B30" s="60" t="s">
        <v>402</v>
      </c>
      <c r="C30" s="64" t="n">
        <f aca="false">Expected!S41</f>
        <v>30130</v>
      </c>
      <c r="D30" s="62" t="str">
        <f aca="false">IF(Expected!S41&gt;Expected!I41,"PASS","FAIL")</f>
        <v>PASS</v>
      </c>
      <c r="E30" s="63" t="s">
        <v>403</v>
      </c>
    </row>
    <row r="31" customFormat="false" ht="15" hidden="false" customHeight="false" outlineLevel="0" collapsed="false">
      <c r="A31" s="60" t="s">
        <v>404</v>
      </c>
      <c r="B31" s="60" t="s">
        <v>405</v>
      </c>
      <c r="C31" s="64" t="n">
        <f aca="false">Expected!N8</f>
        <v>116</v>
      </c>
      <c r="D31" s="62" t="str">
        <f aca="false">IF(Expected!N8&gt;Expected!N7,"PASS","FAIL")</f>
        <v>PASS</v>
      </c>
      <c r="E31" s="63" t="s">
        <v>406</v>
      </c>
    </row>
    <row r="32" customFormat="false" ht="15" hidden="false" customHeight="false" outlineLevel="0" collapsed="false">
      <c r="A32" s="60" t="s">
        <v>407</v>
      </c>
      <c r="B32" s="60" t="s">
        <v>381</v>
      </c>
      <c r="C32" s="64" t="n">
        <f aca="false">Expected!AC17</f>
        <v>16</v>
      </c>
      <c r="D32" s="62" t="str">
        <f aca="false">IF(Expected!AC17&gt;0,"PASS","FAIL")</f>
        <v>PASS</v>
      </c>
      <c r="E32" s="63" t="s">
        <v>408</v>
      </c>
    </row>
    <row r="33" customFormat="false" ht="15" hidden="false" customHeight="false" outlineLevel="0" collapsed="false">
      <c r="A33" s="60" t="s">
        <v>409</v>
      </c>
      <c r="B33" s="60" t="s">
        <v>410</v>
      </c>
      <c r="C33" s="65" t="n">
        <f aca="false">Expected!Y41</f>
        <v>2834</v>
      </c>
      <c r="D33" s="62" t="str">
        <f aca="false">IF(Expected!Y41&gt;Expected!Y6,"PASS","FAIL")</f>
        <v>PASS</v>
      </c>
      <c r="E33" s="63" t="s">
        <v>411</v>
      </c>
    </row>
    <row r="34" customFormat="false" ht="15" hidden="false" customHeight="false" outlineLevel="0" collapsed="false">
      <c r="A34" s="60" t="s">
        <v>412</v>
      </c>
      <c r="B34" s="60" t="s">
        <v>381</v>
      </c>
      <c r="C34" s="60" t="str">
        <f aca="false">IF(Expected!Y10&gt;=500,Expected!AD10,"N/A")</f>
        <v>N/A</v>
      </c>
      <c r="D34" s="62" t="str">
        <f aca="false">IF(OR(Expected!Y10&lt;500,Expected!AD10&gt;0),"PASS","FAIL")</f>
        <v>PASS</v>
      </c>
      <c r="E34" s="63" t="s">
        <v>413</v>
      </c>
    </row>
    <row r="35" customFormat="false" ht="15" hidden="false" customHeight="false" outlineLevel="0" collapsed="false">
      <c r="A35" s="60" t="s">
        <v>414</v>
      </c>
      <c r="B35" s="60" t="s">
        <v>415</v>
      </c>
      <c r="C35" s="65" t="n">
        <f aca="false">Expected!AB41</f>
        <v>52870.7020138012</v>
      </c>
      <c r="D35" s="62" t="str">
        <f aca="false">IF(Expected!AB41&gt;Expected!B41,"PASS","FAIL")</f>
        <v>PASS</v>
      </c>
      <c r="E35" s="63" t="s">
        <v>416</v>
      </c>
    </row>
    <row r="36" customFormat="false" ht="15" hidden="false" customHeight="false" outlineLevel="0" collapsed="false">
      <c r="A36" s="3" t="s">
        <v>417</v>
      </c>
      <c r="B36" s="3" t="s">
        <v>418</v>
      </c>
      <c r="D36" s="3" t="str">
        <f aca="false">COUNTIF(D4:D35,"PASS")&amp;" of 32 PASS"</f>
        <v>32 of 32 PASS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66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66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66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2026-03-12T20:05:30Z</dcterms:created>
  <dc:creator>openpyxl</dc:creator>
  <dc:description/>
  <dc:language>en-US</dc:language>
  <cp:lastModifiedBy/>
  <dcterms:modified xsi:type="dcterms:W3CDTF">2026-03-12T20:05:33Z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