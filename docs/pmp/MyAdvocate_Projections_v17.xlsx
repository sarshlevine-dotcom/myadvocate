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ashboard" sheetId="2" state="visible" r:id="rId4"/>
    <sheet name="Conservative" sheetId="3" state="visible" r:id="rId5"/>
    <sheet name="Expected" sheetId="4" state="visible" r:id="rId6"/>
    <sheet name="Optimistic" sheetId="5" state="visible" r:id="rId7"/>
    <sheet name="VALID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<sst xmlns="http://schemas.openxmlformats.org/spreadsheetml/2006/main" count="344" uniqueCount="296">
  <si>
    <t xml:space="preserve">MyAdvocate Financial Model v17 — Assumptions</t>
  </si>
  <si>
    <t xml:space="preserve">Source: PMP v22 | v17.0 — March 2026 | SIMPLIFIED: Decay-curve SEO, YT as traffic funnel, IG as traffic boost</t>
  </si>
  <si>
    <t xml:space="preserve">Blue = input (user-editable) | Black = calculated | Green = cross-sheet link</t>
  </si>
  <si>
    <t xml:space="preserve">CORE BUSINESS ASSUMPTIONS</t>
  </si>
  <si>
    <t xml:space="preserve">Launch Month</t>
  </si>
  <si>
    <t xml:space="preserve">Month 1 = Launch</t>
  </si>
  <si>
    <t xml:space="preserve">Planning Horizon (months)</t>
  </si>
  <si>
    <t xml:space="preserve">3-year projection</t>
  </si>
  <si>
    <t xml:space="preserve">PRICING STRUCTURE</t>
  </si>
  <si>
    <t xml:space="preserve">Founding Advocate Annual Price</t>
  </si>
  <si>
    <t xml:space="preserve">$34/year — first 250 subs, locked forever</t>
  </si>
  <si>
    <t xml:space="preserve">Founding Advocate Monthly Equivalent</t>
  </si>
  <si>
    <t xml:space="preserve">$34/12 — MRR calculation</t>
  </si>
  <si>
    <t xml:space="preserve">FA Renewal Price (Year 2+)</t>
  </si>
  <si>
    <t xml:space="preserve">$55/yr — permanent FA rate</t>
  </si>
  <si>
    <t xml:space="preserve">FA Cohort Cap</t>
  </si>
  <si>
    <t xml:space="preserve">Maximum Founding Advocates</t>
  </si>
  <si>
    <t xml:space="preserve">Basic Tier Monthly</t>
  </si>
  <si>
    <t xml:space="preserve">Launch tier — all new subs M1–M8</t>
  </si>
  <si>
    <t xml:space="preserve">Standard Tier Monthly (M9+)</t>
  </si>
  <si>
    <t xml:space="preserve">Price increase M9 — new subs only</t>
  </si>
  <si>
    <t xml:space="preserve">Advocate Builder Quarterly</t>
  </si>
  <si>
    <t xml:space="preserve">$21/quarter</t>
  </si>
  <si>
    <t xml:space="preserve">Advocate Builder Monthly Equiv</t>
  </si>
  <si>
    <t xml:space="preserve">$21/3 — MRR purposes</t>
  </si>
  <si>
    <t xml:space="preserve">Annual Standard Price</t>
  </si>
  <si>
    <t xml:space="preserve">$55/yr committed annual</t>
  </si>
  <si>
    <t xml:space="preserve">Premium Monthly (Phase 4+)</t>
  </si>
  <si>
    <t xml:space="preserve">Native app tier — Phase 4 unlock</t>
  </si>
  <si>
    <t xml:space="preserve">CONVERSION RATES — HEALTHCARE COLD TRAFFIC</t>
  </si>
  <si>
    <t xml:space="preserve">Conservative Paid Conversion</t>
  </si>
  <si>
    <t xml:space="preserve">0.15% — cold traffic baseline. Validated: industry 0.5-1.5% for warm; cold = lower</t>
  </si>
  <si>
    <t xml:space="preserve">Expected Paid Conversion</t>
  </si>
  <si>
    <t xml:space="preserve">0.25% — moderate, denial-code SEO boost</t>
  </si>
  <si>
    <t xml:space="preserve">Optimistic Paid Conversion</t>
  </si>
  <si>
    <t xml:space="preserve">0.50% — high-intent denial code + optimized funnel</t>
  </si>
  <si>
    <t xml:space="preserve">Free Signup / Email Capture Rate</t>
  </si>
  <si>
    <t xml:space="preserve">2.0% of total visitors — email list growth (tracked elsewhere)</t>
  </si>
  <si>
    <t xml:space="preserve">Denial Decoder Free-to-Paid Lift</t>
  </si>
  <si>
    <t xml:space="preserve">15% higher conversion from denial code visitors</t>
  </si>
  <si>
    <t xml:space="preserve">FA Conversion Rate (of early subs)</t>
  </si>
  <si>
    <t xml:space="preserve">~40% of first subs take FA offer</t>
  </si>
  <si>
    <t xml:space="preserve">SEO TRAFFIC — DECAY CURVE MODEL</t>
  </si>
  <si>
    <t xml:space="preserve">Month 1 Traffic — Conservative</t>
  </si>
  <si>
    <t xml:space="preserve">New domain, minimal indexed content</t>
  </si>
  <si>
    <t xml:space="preserve">Month 1 Traffic — Expected</t>
  </si>
  <si>
    <t xml:space="preserve">Early SEO content live at launch</t>
  </si>
  <si>
    <t xml:space="preserve">Month 1 Traffic — Optimistic</t>
  </si>
  <si>
    <t xml:space="preserve">Pre-launch content build + denial codes starting</t>
  </si>
  <si>
    <t xml:space="preserve">YEAR 1 (M1-M12) MoM Growth — Conservative</t>
  </si>
  <si>
    <t xml:space="preserve">10% — slow organic compounding, denial codes indexing</t>
  </si>
  <si>
    <t xml:space="preserve">YEAR 1 (M1-M12) MoM Growth — Expected</t>
  </si>
  <si>
    <t xml:space="preserve">14% — consistent 2x/week + denial codes</t>
  </si>
  <si>
    <t xml:space="preserve">YEAR 1 (M1-M12) MoM Growth — Optimistic</t>
  </si>
  <si>
    <t xml:space="preserve">18% — aggressive SEO + denial codes indexing fast</t>
  </si>
  <si>
    <t xml:space="preserve">YEAR 2 (M13-M24) MoM Growth — Conservative</t>
  </si>
  <si>
    <t xml:space="preserve">6% — competition ceilings hit</t>
  </si>
  <si>
    <t xml:space="preserve">YEAR 2 (M13-M24) MoM Growth — Expected</t>
  </si>
  <si>
    <t xml:space="preserve">9% — clusters maturing, backlinks growing</t>
  </si>
  <si>
    <t xml:space="preserve">YEAR 2 (M13-M24) MoM Growth — Optimistic</t>
  </si>
  <si>
    <t xml:space="preserve">12% — strong domain authority building</t>
  </si>
  <si>
    <t xml:space="preserve">YEAR 3 (M25-M36) MoM Growth — Conservative</t>
  </si>
  <si>
    <t xml:space="preserve">4% — mature, near ceiling for solo ops</t>
  </si>
  <si>
    <t xml:space="preserve">YEAR 3 (M25-M36) MoM Growth — Expected</t>
  </si>
  <si>
    <t xml:space="preserve">6% — sustained with refresh + new clusters</t>
  </si>
  <si>
    <t xml:space="preserve">YEAR 3 (M25-M36) MoM Growth — Optimistic</t>
  </si>
  <si>
    <t xml:space="preserve">8% — strong brand + expanding content</t>
  </si>
  <si>
    <t xml:space="preserve">Denial Code Program Boost (M3+)</t>
  </si>
  <si>
    <t xml:space="preserve">15% one-time lift when 200 pages start indexing</t>
  </si>
  <si>
    <t xml:space="preserve">Content Cluster Maturity Boost (M6+)</t>
  </si>
  <si>
    <t xml:space="preserve">8% lift as pillar/cluster architecture matures</t>
  </si>
  <si>
    <t xml:space="preserve">CHURN &amp; RETENTION</t>
  </si>
  <si>
    <t xml:space="preserve">Monthly Churn — Conservative</t>
  </si>
  <si>
    <t xml:space="preserve">8% — challenging healthcare retention</t>
  </si>
  <si>
    <t xml:space="preserve">Monthly Churn — Expected</t>
  </si>
  <si>
    <t xml:space="preserve">7% — decent product-market fit. Benchmark: consumer SaaS 6.5-8%</t>
  </si>
  <si>
    <t xml:space="preserve">Monthly Churn — Optimistic</t>
  </si>
  <si>
    <t xml:space="preserve">6% — strong engagement. Benchmark: good subscription = 4-6%</t>
  </si>
  <si>
    <t xml:space="preserve">FA Churn Rate</t>
  </si>
  <si>
    <t xml:space="preserve">2% — locked pricing creates loyalty</t>
  </si>
  <si>
    <t xml:space="preserve">ATTORNEY REFERRAL ECONOMICS</t>
  </si>
  <si>
    <t xml:space="preserve">Referral Program Start Month</t>
  </si>
  <si>
    <t xml:space="preserve">Month 6 — Signal 1 gate</t>
  </si>
  <si>
    <t xml:space="preserve">Referral Conversion Rate (of visitors)</t>
  </si>
  <si>
    <t xml:space="preserve">0.1% of monthly visitors → referred</t>
  </si>
  <si>
    <t xml:space="preserve">Blended Revenue per Referral ($)</t>
  </si>
  <si>
    <t xml:space="preserve">$350 blended — $300-$400 range</t>
  </si>
  <si>
    <t xml:space="preserve">COSTS — API &amp; INFRASTRUCTURE</t>
  </si>
  <si>
    <t xml:space="preserve">Cost per Letter Generation</t>
  </si>
  <si>
    <t xml:space="preserve">claude-haiku default</t>
  </si>
  <si>
    <t xml:space="preserve">Letters per Paid Sub per Month</t>
  </si>
  <si>
    <t xml:space="preserve">Average usage</t>
  </si>
  <si>
    <t xml:space="preserve">Base Infrastructure Monthly</t>
  </si>
  <si>
    <t xml:space="preserve">Vercel + Supabase + domain</t>
  </si>
  <si>
    <t xml:space="preserve">Infra Scale Threshold (subs)</t>
  </si>
  <si>
    <t xml:space="preserve">Upgrade at ~500 subs (+$45/mo)</t>
  </si>
  <si>
    <t xml:space="preserve">Ahrefs Lite Monthly</t>
  </si>
  <si>
    <t xml:space="preserve">SEO tool stack</t>
  </si>
  <si>
    <t xml:space="preserve">Buffer Monthly</t>
  </si>
  <si>
    <t xml:space="preserve">Social scheduling</t>
  </si>
  <si>
    <t xml:space="preserve">n8n Pro Monthly</t>
  </si>
  <si>
    <t xml:space="preserve">Board of Agents</t>
  </si>
  <si>
    <t xml:space="preserve">Claude Code Monthly</t>
  </si>
  <si>
    <t xml:space="preserve">Dev tool — founder only</t>
  </si>
  <si>
    <t xml:space="preserve">Google Workspace Annual</t>
  </si>
  <si>
    <t xml:space="preserve">$10/mo equiv</t>
  </si>
  <si>
    <t xml:space="preserve">Stripe Transaction Fee %</t>
  </si>
  <si>
    <t xml:space="preserve">2.9% per transaction</t>
  </si>
  <si>
    <t xml:space="preserve">Stripe Fixed Fee</t>
  </si>
  <si>
    <t xml:space="preserve">$0.30 per transaction</t>
  </si>
  <si>
    <t xml:space="preserve">YT Tool Cost Monthly (M3+)</t>
  </si>
  <si>
    <t xml:space="preserve">HeyGen $24 + ElevenLabs $22 + Claude API $15 + Whisper $5</t>
  </si>
  <si>
    <t xml:space="preserve">ONE-TIME LAUNCH COSTS (Month 1 only)</t>
  </si>
  <si>
    <t xml:space="preserve">Healthcare Compliance Attorney</t>
  </si>
  <si>
    <t xml:space="preserve">$1,500-$3,000 range midpoint</t>
  </si>
  <si>
    <t xml:space="preserve">Security Audit</t>
  </si>
  <si>
    <t xml:space="preserve">External audit — launch blocker</t>
  </si>
  <si>
    <t xml:space="preserve">LLC Formation</t>
  </si>
  <si>
    <t xml:space="preserve">Already done</t>
  </si>
  <si>
    <t xml:space="preserve">TRAFFIC MILESTONE GATES (tracked, not modeled)</t>
  </si>
  <si>
    <t xml:space="preserve">Signal 1</t>
  </si>
  <si>
    <t xml:space="preserve">10K monthly visitors</t>
  </si>
  <si>
    <t xml:space="preserve">Signal 2</t>
  </si>
  <si>
    <t xml:space="preserve">25K monthly visitors</t>
  </si>
  <si>
    <t xml:space="preserve">Signal 3</t>
  </si>
  <si>
    <t xml:space="preserve">40K</t>
  </si>
  <si>
    <t xml:space="preserve">Signal 4</t>
  </si>
  <si>
    <t xml:space="preserve">65K</t>
  </si>
  <si>
    <t xml:space="preserve">Signal 5</t>
  </si>
  <si>
    <t xml:space="preserve">110K</t>
  </si>
  <si>
    <t xml:space="preserve">Signal 6</t>
  </si>
  <si>
    <t xml:space="preserve">175K</t>
  </si>
  <si>
    <t xml:space="preserve">OWNER'S DRAW — SIMPLIFIED</t>
  </si>
  <si>
    <t xml:space="preserve">Phase 1 Withdrawal Rate</t>
  </si>
  <si>
    <t xml:space="preserve">0% — all profit builds reserve</t>
  </si>
  <si>
    <t xml:space="preserve">Reserve Floor (months of opex)</t>
  </si>
  <si>
    <t xml:space="preserve">3-month reserve before any draw</t>
  </si>
  <si>
    <t xml:space="preserve">Safe Withdrawal Rate</t>
  </si>
  <si>
    <t xml:space="preserve">30% of monthly profit after reserve floor met</t>
  </si>
  <si>
    <t xml:space="preserve">Max Withdrawal Rate (6+ months reserve)</t>
  </si>
  <si>
    <t xml:space="preserve">50% of monthly profit — strong reserve</t>
  </si>
  <si>
    <t xml:space="preserve">PER-CASE REVENUE ASSUMPTIONS</t>
  </si>
  <si>
    <t xml:space="preserve">Per-Case Letter Price ($)</t>
  </si>
  <si>
    <t xml:space="preserve">$13 one-time — Standard tier price</t>
  </si>
  <si>
    <t xml:space="preserve">Letter Tool Engagement Rate</t>
  </si>
  <si>
    <t xml:space="preserve">8% of visitors use free tool</t>
  </si>
  <si>
    <t xml:space="preserve">Free-to-Second-Letter Rate</t>
  </si>
  <si>
    <t xml:space="preserve">15% need 2nd letter same month</t>
  </si>
  <si>
    <t xml:space="preserve">Per-Case Purchase Rate</t>
  </si>
  <si>
    <t xml:space="preserve">25% choose $13 vs subscribe or leave</t>
  </si>
  <si>
    <t xml:space="preserve">YOUTUBE — TRAFFIC FUNNEL MODEL (MA-YT-001)</t>
  </si>
  <si>
    <t xml:space="preserve">YT Content Start Month (EN)</t>
  </si>
  <si>
    <t xml:space="preserve">Phase 1: 2-3 Shorts/week + 1 long-form/month</t>
  </si>
  <si>
    <t xml:space="preserve">YT ES Channel Start Month</t>
  </si>
  <si>
    <t xml:space="preserve">Spanish channel duplicates EN content</t>
  </si>
  <si>
    <t xml:space="preserve">EN Monthly Views M3-M8</t>
  </si>
  <si>
    <t xml:space="preserve">Early — building library, minimal discovery</t>
  </si>
  <si>
    <t xml:space="preserve">EN Monthly Views M9-M12</t>
  </si>
  <si>
    <t xml:space="preserve">Growing — consistency paying off</t>
  </si>
  <si>
    <t xml:space="preserve">EN Monthly Views M13-M18</t>
  </si>
  <si>
    <t xml:space="preserve">Compounding — Shorts algorithm kicking in</t>
  </si>
  <si>
    <t xml:space="preserve">EN Monthly Views M19-M24</t>
  </si>
  <si>
    <t xml:space="preserve">Established — regular audience</t>
  </si>
  <si>
    <t xml:space="preserve">EN Monthly Views M25-M36</t>
  </si>
  <si>
    <t xml:space="preserve">Mature solo operation</t>
  </si>
  <si>
    <t xml:space="preserve">ES Views as % of EN</t>
  </si>
  <si>
    <t xml:space="preserve">50% of EN views (starts M9)</t>
  </si>
  <si>
    <t xml:space="preserve">YT Viewer-to-Site CTR</t>
  </si>
  <si>
    <t xml:space="preserve">2% of viewers visit site — CTA in every video</t>
  </si>
  <si>
    <t xml:space="preserve">EN YPP Month (AdSense starts)</t>
  </si>
  <si>
    <t xml:space="preserve">1K subs + 4K watch hours</t>
  </si>
  <si>
    <t xml:space="preserve">ES YPP Month</t>
  </si>
  <si>
    <t xml:space="preserve">ES ~4mo after EN</t>
  </si>
  <si>
    <t xml:space="preserve">EN AdSense CPM ($)</t>
  </si>
  <si>
    <t xml:space="preserve">CONSERVATIVE: low-end healthcare $8-$15</t>
  </si>
  <si>
    <t xml:space="preserve">ES AdSense CPM ($)</t>
  </si>
  <si>
    <t xml:space="preserve">CONSERVATIVE: Spanish healthcare</t>
  </si>
  <si>
    <t xml:space="preserve">INSTAGRAM — TRAFFIC BOOST MODEL (MA-IG-001)</t>
  </si>
  <si>
    <t xml:space="preserve">IG Starting Followers</t>
  </si>
  <si>
    <t xml:space="preserve">Organic seed at launch</t>
  </si>
  <si>
    <t xml:space="preserve">IG Follower Growth M1-M6</t>
  </si>
  <si>
    <t xml:space="preserve">20% MoM — small account, Reels strategy</t>
  </si>
  <si>
    <t xml:space="preserve">IG Follower Growth M7-M12</t>
  </si>
  <si>
    <t xml:space="preserve">15% — moderate deceleration</t>
  </si>
  <si>
    <t xml:space="preserve">IG Follower Growth M13-M36</t>
  </si>
  <si>
    <t xml:space="preserve">10% — mature growth</t>
  </si>
  <si>
    <t xml:space="preserve">IG Bio Link CTR (monthly)</t>
  </si>
  <si>
    <t xml:space="preserve">1.5% of followers click through/month. Benchmark: 1-3%</t>
  </si>
  <si>
    <t xml:space="preserve">MyAdvocate Projections v17 — Executive Dashboard</t>
  </si>
  <si>
    <t xml:space="preserve">Simplified: Decay-curve SEO | YT traffic funnel | IG traffic boost | Owner's Draw</t>
  </si>
  <si>
    <t xml:space="preserve">Conservative</t>
  </si>
  <si>
    <t xml:space="preserve">Expected</t>
  </si>
  <si>
    <t xml:space="preserve">Optimistic</t>
  </si>
  <si>
    <t xml:space="preserve">Total Monthly Visitors (M36)</t>
  </si>
  <si>
    <t xml:space="preserve">  → Organic SEO</t>
  </si>
  <si>
    <t xml:space="preserve">  → YouTube</t>
  </si>
  <si>
    <t xml:space="preserve">  → Instagram</t>
  </si>
  <si>
    <t xml:space="preserve">Paid Subscribers (M36)</t>
  </si>
  <si>
    <t xml:space="preserve">MRR (M36)</t>
  </si>
  <si>
    <t xml:space="preserve">Total Revenue (M36)</t>
  </si>
  <si>
    <t xml:space="preserve">Gross Profit (M36)</t>
  </si>
  <si>
    <t xml:space="preserve">Owner's Draw (M36)</t>
  </si>
  <si>
    <t xml:space="preserve">Reserve Balance (M36)</t>
  </si>
  <si>
    <t xml:space="preserve">3-YEAR TOTALS</t>
  </si>
  <si>
    <t xml:space="preserve">3-Yr Subscription Revenue</t>
  </si>
  <si>
    <t xml:space="preserve">3-Yr Per-Case Revenue</t>
  </si>
  <si>
    <t xml:space="preserve">3-Yr Referral Revenue</t>
  </si>
  <si>
    <t xml:space="preserve">3-Yr YT AdSense</t>
  </si>
  <si>
    <t xml:space="preserve">3-Yr Total Revenue</t>
  </si>
  <si>
    <t xml:space="preserve">3-Yr Total Costs</t>
  </si>
  <si>
    <t xml:space="preserve">3-Yr Gross Profit</t>
  </si>
  <si>
    <t xml:space="preserve">3-Yr Owner's Draw</t>
  </si>
  <si>
    <t xml:space="preserve">KEY ASSUMPTIONS</t>
  </si>
  <si>
    <t xml:space="preserve">Paid Conversion Rate</t>
  </si>
  <si>
    <t xml:space="preserve">Y1 Traffic Growth</t>
  </si>
  <si>
    <t xml:space="preserve">Monthly Churn</t>
  </si>
  <si>
    <t xml:space="preserve">CONSERVATIVE SCENARIO</t>
  </si>
  <si>
    <t xml:space="preserve">Month</t>
  </si>
  <si>
    <t xml:space="preserve">Organic
SEO</t>
  </si>
  <si>
    <t xml:space="preserve">YT
Visitors</t>
  </si>
  <si>
    <t xml:space="preserve">IG
Visitors</t>
  </si>
  <si>
    <t xml:space="preserve">TOTAL
Visitors</t>
  </si>
  <si>
    <t xml:space="preserve">New Paid
Subs</t>
  </si>
  <si>
    <t xml:space="preserve">Churn</t>
  </si>
  <si>
    <t xml:space="preserve">Total Paid
Subs</t>
  </si>
  <si>
    <t xml:space="preserve">MRR
($)</t>
  </si>
  <si>
    <t xml:space="preserve">Per-Case
Rev ($)</t>
  </si>
  <si>
    <t xml:space="preserve">Referral
Rev ($)</t>
  </si>
  <si>
    <t xml:space="preserve">YT AdSense
($)</t>
  </si>
  <si>
    <t xml:space="preserve">Total
Revenue ($)</t>
  </si>
  <si>
    <t xml:space="preserve">Total
Costs ($)</t>
  </si>
  <si>
    <t xml:space="preserve">Gross
Profit ($)</t>
  </si>
  <si>
    <t xml:space="preserve">Owner's
Draw ($)</t>
  </si>
  <si>
    <t xml:space="preserve">Reserve
($)</t>
  </si>
  <si>
    <t xml:space="preserve">TOTALS</t>
  </si>
  <si>
    <t xml:space="preserve">M36</t>
  </si>
  <si>
    <t xml:space="preserve">EXPECTED SCENARIO</t>
  </si>
  <si>
    <t xml:space="preserve">OPTIMISTIC SCENARIO</t>
  </si>
  <si>
    <t xml:space="preserve">VALIDATION — ALL MUST PASS BEFORE RELEASE</t>
  </si>
  <si>
    <t xml:space="preserve">Run after every update. Any FAIL blocks release.</t>
  </si>
  <si>
    <t xml:space="preserve">Check</t>
  </si>
  <si>
    <t xml:space="preserve">Actual</t>
  </si>
  <si>
    <t xml:space="preserve">Status</t>
  </si>
  <si>
    <t xml:space="preserve">Notes</t>
  </si>
  <si>
    <t xml:space="preserve">Conservative conv = 0.15%</t>
  </si>
  <si>
    <t xml:space="preserve">0.15%</t>
  </si>
  <si>
    <t xml:space="preserve">Core check</t>
  </si>
  <si>
    <t xml:space="preserve">Expected conv = 0.25%</t>
  </si>
  <si>
    <t xml:space="preserve">0.25%</t>
  </si>
  <si>
    <t xml:space="preserve">Optimistic conv = 0.50%</t>
  </si>
  <si>
    <t xml:space="preserve">0.50%</t>
  </si>
  <si>
    <t xml:space="preserve">Conservative churn = 8%</t>
  </si>
  <si>
    <t xml:space="preserve">8%</t>
  </si>
  <si>
    <t xml:space="preserve">Updated from v16</t>
  </si>
  <si>
    <t xml:space="preserve">Expected churn = 7%</t>
  </si>
  <si>
    <t xml:space="preserve">7%</t>
  </si>
  <si>
    <t xml:space="preserve">NEW in v17</t>
  </si>
  <si>
    <t xml:space="preserve">Optimistic churn = 6%</t>
  </si>
  <si>
    <t xml:space="preserve">6%</t>
  </si>
  <si>
    <t xml:space="preserve">Y1 growth: Cons=10%</t>
  </si>
  <si>
    <t xml:space="preserve">10%</t>
  </si>
  <si>
    <t xml:space="preserve">Decay curve Y1</t>
  </si>
  <si>
    <t xml:space="preserve">Y2 growth decays: Cons Y2 &lt; Y1</t>
  </si>
  <si>
    <t xml:space="preserve">Y2&lt;Y1</t>
  </si>
  <si>
    <t xml:space="preserve">Decay curve check</t>
  </si>
  <si>
    <t xml:space="preserve">Y3 growth decays: Cons Y3 &lt; Y2</t>
  </si>
  <si>
    <t xml:space="preserve">Y3&lt;Y2</t>
  </si>
  <si>
    <t xml:space="preserve">Referral starts M6</t>
  </si>
  <si>
    <t xml:space="preserve">6</t>
  </si>
  <si>
    <t xml:space="preserve">PMP gate</t>
  </si>
  <si>
    <t xml:space="preserve">Conservative M36 reserve &gt; 0</t>
  </si>
  <si>
    <t xml:space="preserve">&gt;$0</t>
  </si>
  <si>
    <t xml:space="preserve">Sustainability</t>
  </si>
  <si>
    <t xml:space="preserve">Expected M36 reserve &gt; 0</t>
  </si>
  <si>
    <t xml:space="preserve">Expected M36 subs &gt; 0</t>
  </si>
  <si>
    <t xml:space="preserve">&gt;0</t>
  </si>
  <si>
    <t xml:space="preserve">Growth sanity</t>
  </si>
  <si>
    <t xml:space="preserve">Opt MRR &gt; Cons MRR at M36</t>
  </si>
  <si>
    <t xml:space="preserve">Opt&gt;Cons</t>
  </si>
  <si>
    <t xml:space="preserve">Scenario ordering</t>
  </si>
  <si>
    <t xml:space="preserve">YT visitors &gt; 0 at M12 Expected</t>
  </si>
  <si>
    <t xml:space="preserve">YT funnel check</t>
  </si>
  <si>
    <t xml:space="preserve">IG visitors &gt; 0 at M6 Expected</t>
  </si>
  <si>
    <t xml:space="preserve">IG traffic check</t>
  </si>
  <si>
    <t xml:space="preserve">Total visitors &gt; organic (YT+IG additive)</t>
  </si>
  <si>
    <t xml:space="preserve">E&gt;B</t>
  </si>
  <si>
    <t xml:space="preserve">Multi-channel</t>
  </si>
  <si>
    <t xml:space="preserve">Per-case revenue &gt; 0 at M12 Expected</t>
  </si>
  <si>
    <t xml:space="preserve">Per-case check</t>
  </si>
  <si>
    <t xml:space="preserve">IG CTR = 1.5%</t>
  </si>
  <si>
    <t xml:space="preserve">1.5%</t>
  </si>
  <si>
    <t xml:space="preserve">Updated from 0.3%</t>
  </si>
  <si>
    <t xml:space="preserve">YT viewer CTR = 2%</t>
  </si>
  <si>
    <t xml:space="preserve">2%</t>
  </si>
  <si>
    <t xml:space="preserve">YT-to-site funnel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</si>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</sst>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%"/>
    <numFmt numFmtId="167" formatCode="#,##0"/>
    <numFmt numFmtId="168" formatCode="\$#,##0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70C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C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4"/>
    <col collapsed="false" customWidth="true" hidden="false" outlineLevel="0" max="3" min="3" style="1" width="6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  <c r="B6" s="6" t="n">
        <v>1</v>
      </c>
      <c r="C6" s="3" t="s">
        <v>5</v>
      </c>
    </row>
    <row r="7" customFormat="false" ht="15" hidden="false" customHeight="true" outlineLevel="0" collapsed="false">
      <c r="A7" s="5" t="s">
        <v>6</v>
      </c>
      <c r="B7" s="6" t="n">
        <v>36</v>
      </c>
      <c r="C7" s="3" t="s">
        <v>7</v>
      </c>
    </row>
    <row r="9" customFormat="false" ht="15" hidden="false" customHeight="true" outlineLevel="0" collapsed="false">
      <c r="A9" s="4" t="s">
        <v>8</v>
      </c>
    </row>
    <row r="10" customFormat="false" ht="15" hidden="false" customHeight="true" outlineLevel="0" collapsed="false">
      <c r="A10" s="5" t="s">
        <v>9</v>
      </c>
      <c r="B10" s="6" t="n">
        <v>34</v>
      </c>
      <c r="C10" s="3" t="s">
        <v>10</v>
      </c>
    </row>
    <row r="11" customFormat="false" ht="15" hidden="false" customHeight="true" outlineLevel="0" collapsed="false">
      <c r="A11" s="5" t="s">
        <v>11</v>
      </c>
      <c r="B11" s="5" t="n">
        <f aca="false">B10/12</f>
        <v>2.83333333333333</v>
      </c>
      <c r="C11" s="3" t="s">
        <v>12</v>
      </c>
    </row>
    <row r="12" customFormat="false" ht="15" hidden="false" customHeight="true" outlineLevel="0" collapsed="false">
      <c r="A12" s="5" t="s">
        <v>13</v>
      </c>
      <c r="B12" s="6" t="n">
        <v>55</v>
      </c>
      <c r="C12" s="3" t="s">
        <v>14</v>
      </c>
    </row>
    <row r="13" customFormat="false" ht="15" hidden="false" customHeight="true" outlineLevel="0" collapsed="false">
      <c r="A13" s="5" t="s">
        <v>15</v>
      </c>
      <c r="B13" s="6" t="n">
        <v>250</v>
      </c>
      <c r="C13" s="3" t="s">
        <v>16</v>
      </c>
    </row>
    <row r="14" customFormat="false" ht="15" hidden="false" customHeight="true" outlineLevel="0" collapsed="false">
      <c r="A14" s="5" t="s">
        <v>17</v>
      </c>
      <c r="B14" s="6" t="n">
        <v>8</v>
      </c>
      <c r="C14" s="3" t="s">
        <v>18</v>
      </c>
    </row>
    <row r="15" customFormat="false" ht="15" hidden="false" customHeight="true" outlineLevel="0" collapsed="false">
      <c r="A15" s="5" t="s">
        <v>19</v>
      </c>
      <c r="B15" s="6" t="n">
        <v>13</v>
      </c>
      <c r="C15" s="3" t="s">
        <v>20</v>
      </c>
    </row>
    <row r="16" customFormat="false" ht="15" hidden="false" customHeight="true" outlineLevel="0" collapsed="false">
      <c r="A16" s="5" t="s">
        <v>21</v>
      </c>
      <c r="B16" s="6" t="n">
        <v>21</v>
      </c>
      <c r="C16" s="3" t="s">
        <v>22</v>
      </c>
    </row>
    <row r="17" customFormat="false" ht="15" hidden="false" customHeight="true" outlineLevel="0" collapsed="false">
      <c r="A17" s="5" t="s">
        <v>23</v>
      </c>
      <c r="B17" s="5" t="n">
        <f aca="false">B16/3</f>
        <v>7</v>
      </c>
      <c r="C17" s="3" t="s">
        <v>24</v>
      </c>
    </row>
    <row r="18" customFormat="false" ht="15" hidden="false" customHeight="true" outlineLevel="0" collapsed="false">
      <c r="A18" s="5" t="s">
        <v>25</v>
      </c>
      <c r="B18" s="6" t="n">
        <v>55</v>
      </c>
      <c r="C18" s="3" t="s">
        <v>26</v>
      </c>
    </row>
    <row r="19" customFormat="false" ht="15" hidden="false" customHeight="true" outlineLevel="0" collapsed="false">
      <c r="A19" s="5" t="s">
        <v>27</v>
      </c>
      <c r="B19" s="6" t="n">
        <v>21</v>
      </c>
      <c r="C19" s="3" t="s">
        <v>28</v>
      </c>
    </row>
    <row r="21" customFormat="false" ht="15" hidden="false" customHeight="true" outlineLevel="0" collapsed="false">
      <c r="A21" s="4" t="s">
        <v>29</v>
      </c>
    </row>
    <row r="22" customFormat="false" ht="15" hidden="false" customHeight="true" outlineLevel="0" collapsed="false">
      <c r="A22" s="5" t="s">
        <v>30</v>
      </c>
      <c r="B22" s="7" t="n">
        <v>0.0015</v>
      </c>
      <c r="C22" s="3" t="s">
        <v>31</v>
      </c>
    </row>
    <row r="23" customFormat="false" ht="15" hidden="false" customHeight="true" outlineLevel="0" collapsed="false">
      <c r="A23" s="5" t="s">
        <v>32</v>
      </c>
      <c r="B23" s="7" t="n">
        <v>0.0025</v>
      </c>
      <c r="C23" s="3" t="s">
        <v>33</v>
      </c>
    </row>
    <row r="24" customFormat="false" ht="15" hidden="false" customHeight="true" outlineLevel="0" collapsed="false">
      <c r="A24" s="5" t="s">
        <v>34</v>
      </c>
      <c r="B24" s="7" t="n">
        <v>0.005</v>
      </c>
      <c r="C24" s="3" t="s">
        <v>35</v>
      </c>
    </row>
    <row r="25" customFormat="false" ht="15" hidden="false" customHeight="true" outlineLevel="0" collapsed="false">
      <c r="A25" s="5" t="s">
        <v>36</v>
      </c>
      <c r="B25" s="7" t="n">
        <v>0.02</v>
      </c>
      <c r="C25" s="3" t="s">
        <v>37</v>
      </c>
    </row>
    <row r="26" customFormat="false" ht="15" hidden="false" customHeight="true" outlineLevel="0" collapsed="false">
      <c r="A26" s="5" t="s">
        <v>38</v>
      </c>
      <c r="B26" s="8" t="n">
        <v>1.15</v>
      </c>
      <c r="C26" s="3" t="s">
        <v>39</v>
      </c>
    </row>
    <row r="27" customFormat="false" ht="15" hidden="false" customHeight="true" outlineLevel="0" collapsed="false">
      <c r="A27" s="5" t="s">
        <v>40</v>
      </c>
      <c r="B27" s="7" t="n">
        <v>0.4</v>
      </c>
      <c r="C27" s="3" t="s">
        <v>41</v>
      </c>
    </row>
    <row r="29" customFormat="false" ht="15" hidden="false" customHeight="true" outlineLevel="0" collapsed="false">
      <c r="A29" s="4" t="s">
        <v>42</v>
      </c>
    </row>
    <row r="30" customFormat="false" ht="15" hidden="false" customHeight="true" outlineLevel="0" collapsed="false">
      <c r="A30" s="5" t="s">
        <v>43</v>
      </c>
      <c r="B30" s="6" t="n">
        <v>250</v>
      </c>
      <c r="C30" s="3" t="s">
        <v>44</v>
      </c>
    </row>
    <row r="31" customFormat="false" ht="15" hidden="false" customHeight="true" outlineLevel="0" collapsed="false">
      <c r="A31" s="5" t="s">
        <v>45</v>
      </c>
      <c r="B31" s="6" t="n">
        <v>500</v>
      </c>
      <c r="C31" s="3" t="s">
        <v>46</v>
      </c>
    </row>
    <row r="32" customFormat="false" ht="15" hidden="false" customHeight="true" outlineLevel="0" collapsed="false">
      <c r="A32" s="5" t="s">
        <v>47</v>
      </c>
      <c r="B32" s="6" t="n">
        <v>750</v>
      </c>
      <c r="C32" s="3" t="s">
        <v>48</v>
      </c>
    </row>
    <row r="34" customFormat="false" ht="15" hidden="false" customHeight="true" outlineLevel="0" collapsed="false">
      <c r="A34" s="5" t="s">
        <v>49</v>
      </c>
      <c r="B34" s="8" t="n">
        <v>0.1</v>
      </c>
      <c r="C34" s="3" t="s">
        <v>50</v>
      </c>
    </row>
    <row r="35" customFormat="false" ht="15" hidden="false" customHeight="true" outlineLevel="0" collapsed="false">
      <c r="A35" s="5" t="s">
        <v>51</v>
      </c>
      <c r="B35" s="8" t="n">
        <v>0.14</v>
      </c>
      <c r="C35" s="3" t="s">
        <v>52</v>
      </c>
    </row>
    <row r="36" customFormat="false" ht="15" hidden="false" customHeight="true" outlineLevel="0" collapsed="false">
      <c r="A36" s="5" t="s">
        <v>53</v>
      </c>
      <c r="B36" s="8" t="n">
        <v>0.18</v>
      </c>
      <c r="C36" s="3" t="s">
        <v>54</v>
      </c>
    </row>
    <row r="38" customFormat="false" ht="15" hidden="false" customHeight="true" outlineLevel="0" collapsed="false">
      <c r="A38" s="5" t="s">
        <v>55</v>
      </c>
      <c r="B38" s="8" t="n">
        <v>0.06</v>
      </c>
      <c r="C38" s="3" t="s">
        <v>56</v>
      </c>
    </row>
    <row r="39" customFormat="false" ht="15" hidden="false" customHeight="true" outlineLevel="0" collapsed="false">
      <c r="A39" s="5" t="s">
        <v>57</v>
      </c>
      <c r="B39" s="8" t="n">
        <v>0.09</v>
      </c>
      <c r="C39" s="3" t="s">
        <v>58</v>
      </c>
    </row>
    <row r="40" customFormat="false" ht="15" hidden="false" customHeight="true" outlineLevel="0" collapsed="false">
      <c r="A40" s="5" t="s">
        <v>59</v>
      </c>
      <c r="B40" s="8" t="n">
        <v>0.12</v>
      </c>
      <c r="C40" s="3" t="s">
        <v>60</v>
      </c>
    </row>
    <row r="42" customFormat="false" ht="15" hidden="false" customHeight="true" outlineLevel="0" collapsed="false">
      <c r="A42" s="5" t="s">
        <v>61</v>
      </c>
      <c r="B42" s="8" t="n">
        <v>0.04</v>
      </c>
      <c r="C42" s="3" t="s">
        <v>62</v>
      </c>
    </row>
    <row r="43" customFormat="false" ht="15" hidden="false" customHeight="true" outlineLevel="0" collapsed="false">
      <c r="A43" s="5" t="s">
        <v>63</v>
      </c>
      <c r="B43" s="8" t="n">
        <v>0.06</v>
      </c>
      <c r="C43" s="3" t="s">
        <v>64</v>
      </c>
    </row>
    <row r="44" customFormat="false" ht="15" hidden="false" customHeight="true" outlineLevel="0" collapsed="false">
      <c r="A44" s="5" t="s">
        <v>65</v>
      </c>
      <c r="B44" s="8" t="n">
        <v>0.08</v>
      </c>
      <c r="C44" s="3" t="s">
        <v>66</v>
      </c>
    </row>
    <row r="46" customFormat="false" ht="15" hidden="false" customHeight="true" outlineLevel="0" collapsed="false">
      <c r="A46" s="5" t="s">
        <v>67</v>
      </c>
      <c r="B46" s="6" t="n">
        <v>1.15</v>
      </c>
      <c r="C46" s="3" t="s">
        <v>68</v>
      </c>
    </row>
    <row r="47" customFormat="false" ht="15" hidden="false" customHeight="true" outlineLevel="0" collapsed="false">
      <c r="A47" s="5" t="s">
        <v>69</v>
      </c>
      <c r="B47" s="6" t="n">
        <v>1.08</v>
      </c>
      <c r="C47" s="3" t="s">
        <v>70</v>
      </c>
    </row>
    <row r="49" customFormat="false" ht="15" hidden="false" customHeight="true" outlineLevel="0" collapsed="false">
      <c r="A49" s="4" t="s">
        <v>71</v>
      </c>
    </row>
    <row r="50" customFormat="false" ht="15" hidden="false" customHeight="true" outlineLevel="0" collapsed="false">
      <c r="A50" s="5" t="s">
        <v>72</v>
      </c>
      <c r="B50" s="8" t="n">
        <v>0.08</v>
      </c>
      <c r="C50" s="3" t="s">
        <v>73</v>
      </c>
    </row>
    <row r="51" customFormat="false" ht="15" hidden="false" customHeight="true" outlineLevel="0" collapsed="false">
      <c r="A51" s="5" t="s">
        <v>74</v>
      </c>
      <c r="B51" s="8" t="n">
        <v>0.07</v>
      </c>
      <c r="C51" s="3" t="s">
        <v>75</v>
      </c>
    </row>
    <row r="52" customFormat="false" ht="15" hidden="false" customHeight="true" outlineLevel="0" collapsed="false">
      <c r="A52" s="5" t="s">
        <v>76</v>
      </c>
      <c r="B52" s="8" t="n">
        <v>0.06</v>
      </c>
      <c r="C52" s="3" t="s">
        <v>77</v>
      </c>
    </row>
    <row r="53" customFormat="false" ht="15" hidden="false" customHeight="true" outlineLevel="0" collapsed="false">
      <c r="A53" s="5" t="s">
        <v>78</v>
      </c>
      <c r="B53" s="8" t="n">
        <v>0.02</v>
      </c>
      <c r="C53" s="3" t="s">
        <v>79</v>
      </c>
    </row>
    <row r="55" customFormat="false" ht="15" hidden="false" customHeight="true" outlineLevel="0" collapsed="false">
      <c r="A55" s="4" t="s">
        <v>80</v>
      </c>
    </row>
    <row r="56" customFormat="false" ht="15" hidden="false" customHeight="true" outlineLevel="0" collapsed="false">
      <c r="A56" s="5" t="s">
        <v>81</v>
      </c>
      <c r="B56" s="6" t="n">
        <v>6</v>
      </c>
      <c r="C56" s="3" t="s">
        <v>82</v>
      </c>
    </row>
    <row r="57" customFormat="false" ht="15" hidden="false" customHeight="true" outlineLevel="0" collapsed="false">
      <c r="A57" s="5" t="s">
        <v>83</v>
      </c>
      <c r="B57" s="7" t="n">
        <v>0.001</v>
      </c>
      <c r="C57" s="3" t="s">
        <v>84</v>
      </c>
    </row>
    <row r="58" customFormat="false" ht="15" hidden="false" customHeight="true" outlineLevel="0" collapsed="false">
      <c r="A58" s="5" t="s">
        <v>85</v>
      </c>
      <c r="B58" s="6" t="n">
        <v>350</v>
      </c>
      <c r="C58" s="3" t="s">
        <v>86</v>
      </c>
    </row>
    <row r="60" customFormat="false" ht="15" hidden="false" customHeight="true" outlineLevel="0" collapsed="false">
      <c r="A60" s="4" t="s">
        <v>87</v>
      </c>
    </row>
    <row r="61" customFormat="false" ht="15" hidden="false" customHeight="true" outlineLevel="0" collapsed="false">
      <c r="A61" s="5" t="s">
        <v>88</v>
      </c>
      <c r="B61" s="6" t="n">
        <v>0.08</v>
      </c>
      <c r="C61" s="3" t="s">
        <v>89</v>
      </c>
    </row>
    <row r="62" customFormat="false" ht="15" hidden="false" customHeight="true" outlineLevel="0" collapsed="false">
      <c r="A62" s="5" t="s">
        <v>90</v>
      </c>
      <c r="B62" s="6" t="n">
        <v>3.5</v>
      </c>
      <c r="C62" s="3" t="s">
        <v>91</v>
      </c>
    </row>
    <row r="63" customFormat="false" ht="15" hidden="false" customHeight="true" outlineLevel="0" collapsed="false">
      <c r="A63" s="5" t="s">
        <v>92</v>
      </c>
      <c r="B63" s="6" t="n">
        <v>31</v>
      </c>
      <c r="C63" s="3" t="s">
        <v>93</v>
      </c>
    </row>
    <row r="64" customFormat="false" ht="15" hidden="false" customHeight="true" outlineLevel="0" collapsed="false">
      <c r="A64" s="5" t="s">
        <v>94</v>
      </c>
      <c r="B64" s="6" t="n">
        <v>500</v>
      </c>
      <c r="C64" s="3" t="s">
        <v>95</v>
      </c>
    </row>
    <row r="65" customFormat="false" ht="15" hidden="false" customHeight="true" outlineLevel="0" collapsed="false">
      <c r="A65" s="5" t="s">
        <v>96</v>
      </c>
      <c r="B65" s="6" t="n">
        <v>29</v>
      </c>
      <c r="C65" s="3" t="s">
        <v>97</v>
      </c>
    </row>
    <row r="66" customFormat="false" ht="15" hidden="false" customHeight="true" outlineLevel="0" collapsed="false">
      <c r="A66" s="5" t="s">
        <v>98</v>
      </c>
      <c r="B66" s="6" t="n">
        <v>6</v>
      </c>
      <c r="C66" s="3" t="s">
        <v>99</v>
      </c>
    </row>
    <row r="67" customFormat="false" ht="15" hidden="false" customHeight="true" outlineLevel="0" collapsed="false">
      <c r="A67" s="5" t="s">
        <v>100</v>
      </c>
      <c r="B67" s="6" t="n">
        <v>20</v>
      </c>
      <c r="C67" s="3" t="s">
        <v>101</v>
      </c>
    </row>
    <row r="68" customFormat="false" ht="15" hidden="false" customHeight="true" outlineLevel="0" collapsed="false">
      <c r="A68" s="5" t="s">
        <v>102</v>
      </c>
      <c r="B68" s="6" t="n">
        <v>20</v>
      </c>
      <c r="C68" s="3" t="s">
        <v>103</v>
      </c>
    </row>
    <row r="69" customFormat="false" ht="15" hidden="false" customHeight="true" outlineLevel="0" collapsed="false">
      <c r="A69" s="5" t="s">
        <v>104</v>
      </c>
      <c r="B69" s="6" t="n">
        <v>120</v>
      </c>
      <c r="C69" s="3" t="s">
        <v>105</v>
      </c>
    </row>
    <row r="70" customFormat="false" ht="15" hidden="false" customHeight="true" outlineLevel="0" collapsed="false">
      <c r="A70" s="5" t="s">
        <v>106</v>
      </c>
      <c r="B70" s="6" t="n">
        <v>0.029</v>
      </c>
      <c r="C70" s="3" t="s">
        <v>107</v>
      </c>
    </row>
    <row r="71" customFormat="false" ht="15" hidden="false" customHeight="true" outlineLevel="0" collapsed="false">
      <c r="A71" s="5" t="s">
        <v>108</v>
      </c>
      <c r="B71" s="6" t="n">
        <v>0.3</v>
      </c>
      <c r="C71" s="3" t="s">
        <v>109</v>
      </c>
    </row>
    <row r="72" customFormat="false" ht="15" hidden="false" customHeight="true" outlineLevel="0" collapsed="false">
      <c r="A72" s="5" t="s">
        <v>110</v>
      </c>
      <c r="B72" s="6" t="n">
        <v>66</v>
      </c>
      <c r="C72" s="3" t="s">
        <v>111</v>
      </c>
    </row>
    <row r="74" customFormat="false" ht="15" hidden="false" customHeight="true" outlineLevel="0" collapsed="false">
      <c r="A74" s="4" t="s">
        <v>112</v>
      </c>
    </row>
    <row r="75" customFormat="false" ht="15" hidden="false" customHeight="true" outlineLevel="0" collapsed="false">
      <c r="A75" s="5" t="s">
        <v>113</v>
      </c>
      <c r="B75" s="6" t="n">
        <v>2250</v>
      </c>
      <c r="C75" s="3" t="s">
        <v>114</v>
      </c>
    </row>
    <row r="76" customFormat="false" ht="15" hidden="false" customHeight="true" outlineLevel="0" collapsed="false">
      <c r="A76" s="5" t="s">
        <v>115</v>
      </c>
      <c r="B76" s="6" t="n">
        <v>500</v>
      </c>
      <c r="C76" s="3" t="s">
        <v>116</v>
      </c>
    </row>
    <row r="77" customFormat="false" ht="15" hidden="false" customHeight="true" outlineLevel="0" collapsed="false">
      <c r="A77" s="5" t="s">
        <v>117</v>
      </c>
      <c r="B77" s="6" t="n">
        <v>500</v>
      </c>
      <c r="C77" s="3" t="s">
        <v>118</v>
      </c>
    </row>
    <row r="79" customFormat="false" ht="15" hidden="false" customHeight="true" outlineLevel="0" collapsed="false">
      <c r="A79" s="4" t="s">
        <v>119</v>
      </c>
    </row>
    <row r="80" customFormat="false" ht="15" hidden="false" customHeight="true" outlineLevel="0" collapsed="false">
      <c r="A80" s="5" t="s">
        <v>120</v>
      </c>
      <c r="B80" s="6" t="n">
        <v>10000</v>
      </c>
      <c r="C80" s="3" t="s">
        <v>121</v>
      </c>
    </row>
    <row r="81" customFormat="false" ht="15" hidden="false" customHeight="true" outlineLevel="0" collapsed="false">
      <c r="A81" s="5" t="s">
        <v>122</v>
      </c>
      <c r="B81" s="6" t="n">
        <v>25000</v>
      </c>
      <c r="C81" s="3" t="s">
        <v>123</v>
      </c>
    </row>
    <row r="82" customFormat="false" ht="15" hidden="false" customHeight="true" outlineLevel="0" collapsed="false">
      <c r="A82" s="5" t="s">
        <v>124</v>
      </c>
      <c r="B82" s="6" t="n">
        <v>40000</v>
      </c>
      <c r="C82" s="3" t="s">
        <v>125</v>
      </c>
    </row>
    <row r="83" customFormat="false" ht="15" hidden="false" customHeight="true" outlineLevel="0" collapsed="false">
      <c r="A83" s="5" t="s">
        <v>126</v>
      </c>
      <c r="B83" s="6" t="n">
        <v>65000</v>
      </c>
      <c r="C83" s="3" t="s">
        <v>127</v>
      </c>
    </row>
    <row r="84" customFormat="false" ht="15" hidden="false" customHeight="true" outlineLevel="0" collapsed="false">
      <c r="A84" s="5" t="s">
        <v>128</v>
      </c>
      <c r="B84" s="6" t="n">
        <v>110000</v>
      </c>
      <c r="C84" s="3" t="s">
        <v>129</v>
      </c>
    </row>
    <row r="85" customFormat="false" ht="15" hidden="false" customHeight="true" outlineLevel="0" collapsed="false">
      <c r="A85" s="5" t="s">
        <v>130</v>
      </c>
      <c r="B85" s="6" t="n">
        <v>175000</v>
      </c>
      <c r="C85" s="3" t="s">
        <v>131</v>
      </c>
    </row>
    <row r="87" customFormat="false" ht="15" hidden="false" customHeight="true" outlineLevel="0" collapsed="false">
      <c r="A87" s="4" t="s">
        <v>132</v>
      </c>
    </row>
    <row r="88" customFormat="false" ht="15" hidden="false" customHeight="true" outlineLevel="0" collapsed="false">
      <c r="A88" s="5" t="s">
        <v>133</v>
      </c>
      <c r="B88" s="6" t="n">
        <v>0</v>
      </c>
      <c r="C88" s="3" t="s">
        <v>134</v>
      </c>
    </row>
    <row r="89" customFormat="false" ht="15" hidden="false" customHeight="true" outlineLevel="0" collapsed="false">
      <c r="A89" s="5" t="s">
        <v>135</v>
      </c>
      <c r="B89" s="6" t="n">
        <v>3</v>
      </c>
      <c r="C89" s="3" t="s">
        <v>136</v>
      </c>
    </row>
    <row r="90" customFormat="false" ht="15" hidden="false" customHeight="true" outlineLevel="0" collapsed="false">
      <c r="A90" s="5" t="s">
        <v>137</v>
      </c>
      <c r="B90" s="8" t="n">
        <v>0.3</v>
      </c>
      <c r="C90" s="3" t="s">
        <v>138</v>
      </c>
    </row>
    <row r="91" customFormat="false" ht="15" hidden="false" customHeight="true" outlineLevel="0" collapsed="false">
      <c r="A91" s="5" t="s">
        <v>139</v>
      </c>
      <c r="B91" s="8" t="n">
        <v>0.5</v>
      </c>
      <c r="C91" s="3" t="s">
        <v>140</v>
      </c>
    </row>
    <row r="93" customFormat="false" ht="15" hidden="false" customHeight="true" outlineLevel="0" collapsed="false">
      <c r="A93" s="4" t="s">
        <v>141</v>
      </c>
    </row>
    <row r="94" customFormat="false" ht="15" hidden="false" customHeight="true" outlineLevel="0" collapsed="false">
      <c r="A94" s="5" t="s">
        <v>142</v>
      </c>
      <c r="B94" s="6" t="n">
        <v>13</v>
      </c>
      <c r="C94" s="3" t="s">
        <v>143</v>
      </c>
    </row>
    <row r="95" customFormat="false" ht="15" hidden="false" customHeight="true" outlineLevel="0" collapsed="false">
      <c r="A95" s="5" t="s">
        <v>144</v>
      </c>
      <c r="B95" s="8" t="n">
        <v>0.08</v>
      </c>
      <c r="C95" s="3" t="s">
        <v>145</v>
      </c>
    </row>
    <row r="96" customFormat="false" ht="15" hidden="false" customHeight="true" outlineLevel="0" collapsed="false">
      <c r="A96" s="5" t="s">
        <v>146</v>
      </c>
      <c r="B96" s="8" t="n">
        <v>0.15</v>
      </c>
      <c r="C96" s="3" t="s">
        <v>147</v>
      </c>
    </row>
    <row r="97" customFormat="false" ht="15" hidden="false" customHeight="true" outlineLevel="0" collapsed="false">
      <c r="A97" s="5" t="s">
        <v>148</v>
      </c>
      <c r="B97" s="8" t="n">
        <v>0.25</v>
      </c>
      <c r="C97" s="3" t="s">
        <v>149</v>
      </c>
    </row>
    <row r="99" customFormat="false" ht="15" hidden="false" customHeight="true" outlineLevel="0" collapsed="false">
      <c r="A99" s="4" t="s">
        <v>150</v>
      </c>
    </row>
    <row r="100" customFormat="false" ht="15" hidden="false" customHeight="true" outlineLevel="0" collapsed="false">
      <c r="A100" s="5" t="s">
        <v>151</v>
      </c>
      <c r="B100" s="6" t="n">
        <v>3</v>
      </c>
      <c r="C100" s="3" t="s">
        <v>152</v>
      </c>
    </row>
    <row r="101" customFormat="false" ht="15" hidden="false" customHeight="true" outlineLevel="0" collapsed="false">
      <c r="A101" s="5" t="s">
        <v>153</v>
      </c>
      <c r="B101" s="6" t="n">
        <v>9</v>
      </c>
      <c r="C101" s="3" t="s">
        <v>154</v>
      </c>
    </row>
    <row r="103" customFormat="false" ht="15" hidden="false" customHeight="true" outlineLevel="0" collapsed="false">
      <c r="A103" s="5" t="s">
        <v>155</v>
      </c>
      <c r="B103" s="6" t="n">
        <v>500</v>
      </c>
      <c r="C103" s="3" t="s">
        <v>156</v>
      </c>
    </row>
    <row r="104" customFormat="false" ht="15" hidden="false" customHeight="true" outlineLevel="0" collapsed="false">
      <c r="A104" s="5" t="s">
        <v>157</v>
      </c>
      <c r="B104" s="6" t="n">
        <v>2000</v>
      </c>
      <c r="C104" s="3" t="s">
        <v>158</v>
      </c>
    </row>
    <row r="105" customFormat="false" ht="15" hidden="false" customHeight="true" outlineLevel="0" collapsed="false">
      <c r="A105" s="5" t="s">
        <v>159</v>
      </c>
      <c r="B105" s="6" t="n">
        <v>5000</v>
      </c>
      <c r="C105" s="3" t="s">
        <v>160</v>
      </c>
    </row>
    <row r="106" customFormat="false" ht="15" hidden="false" customHeight="true" outlineLevel="0" collapsed="false">
      <c r="A106" s="5" t="s">
        <v>161</v>
      </c>
      <c r="B106" s="6" t="n">
        <v>10000</v>
      </c>
      <c r="C106" s="3" t="s">
        <v>162</v>
      </c>
    </row>
    <row r="107" customFormat="false" ht="15" hidden="false" customHeight="true" outlineLevel="0" collapsed="false">
      <c r="A107" s="5" t="s">
        <v>163</v>
      </c>
      <c r="B107" s="6" t="n">
        <v>18000</v>
      </c>
      <c r="C107" s="3" t="s">
        <v>164</v>
      </c>
    </row>
    <row r="109" customFormat="false" ht="15" hidden="false" customHeight="true" outlineLevel="0" collapsed="false">
      <c r="A109" s="5" t="s">
        <v>165</v>
      </c>
      <c r="B109" s="8" t="n">
        <v>0.5</v>
      </c>
      <c r="C109" s="3" t="s">
        <v>166</v>
      </c>
    </row>
    <row r="111" customFormat="false" ht="15" hidden="false" customHeight="true" outlineLevel="0" collapsed="false">
      <c r="A111" s="5" t="s">
        <v>167</v>
      </c>
      <c r="B111" s="8" t="n">
        <v>0.02</v>
      </c>
      <c r="C111" s="3" t="s">
        <v>168</v>
      </c>
    </row>
    <row r="113" customFormat="false" ht="15" hidden="false" customHeight="true" outlineLevel="0" collapsed="false">
      <c r="A113" s="5" t="s">
        <v>169</v>
      </c>
      <c r="B113" s="6" t="n">
        <v>12</v>
      </c>
      <c r="C113" s="3" t="s">
        <v>170</v>
      </c>
    </row>
    <row r="114" customFormat="false" ht="15" hidden="false" customHeight="true" outlineLevel="0" collapsed="false">
      <c r="A114" s="5" t="s">
        <v>171</v>
      </c>
      <c r="B114" s="6" t="n">
        <v>16</v>
      </c>
      <c r="C114" s="3" t="s">
        <v>172</v>
      </c>
    </row>
    <row r="115" customFormat="false" ht="15" hidden="false" customHeight="true" outlineLevel="0" collapsed="false">
      <c r="A115" s="5" t="s">
        <v>173</v>
      </c>
      <c r="B115" s="6" t="n">
        <v>8</v>
      </c>
      <c r="C115" s="3" t="s">
        <v>174</v>
      </c>
    </row>
    <row r="116" customFormat="false" ht="15" hidden="false" customHeight="true" outlineLevel="0" collapsed="false">
      <c r="A116" s="5" t="s">
        <v>175</v>
      </c>
      <c r="B116" s="6" t="n">
        <v>3</v>
      </c>
      <c r="C116" s="3" t="s">
        <v>176</v>
      </c>
    </row>
    <row r="118" customFormat="false" ht="15" hidden="false" customHeight="true" outlineLevel="0" collapsed="false">
      <c r="A118" s="4" t="s">
        <v>177</v>
      </c>
    </row>
    <row r="119" customFormat="false" ht="15" hidden="false" customHeight="true" outlineLevel="0" collapsed="false">
      <c r="A119" s="5" t="s">
        <v>178</v>
      </c>
      <c r="B119" s="6" t="n">
        <v>50</v>
      </c>
      <c r="C119" s="3" t="s">
        <v>179</v>
      </c>
    </row>
    <row r="120" customFormat="false" ht="15" hidden="false" customHeight="true" outlineLevel="0" collapsed="false">
      <c r="A120" s="5" t="s">
        <v>180</v>
      </c>
      <c r="B120" s="8" t="n">
        <v>0.2</v>
      </c>
      <c r="C120" s="3" t="s">
        <v>181</v>
      </c>
    </row>
    <row r="121" customFormat="false" ht="15" hidden="false" customHeight="true" outlineLevel="0" collapsed="false">
      <c r="A121" s="5" t="s">
        <v>182</v>
      </c>
      <c r="B121" s="8" t="n">
        <v>0.15</v>
      </c>
      <c r="C121" s="3" t="s">
        <v>183</v>
      </c>
    </row>
    <row r="122" customFormat="false" ht="15" hidden="false" customHeight="true" outlineLevel="0" collapsed="false">
      <c r="A122" s="5" t="s">
        <v>184</v>
      </c>
      <c r="B122" s="8" t="n">
        <v>0.1</v>
      </c>
      <c r="C122" s="3" t="s">
        <v>185</v>
      </c>
    </row>
    <row r="123" customFormat="false" ht="15" hidden="false" customHeight="true" outlineLevel="0" collapsed="false">
      <c r="A123" s="5" t="s">
        <v>186</v>
      </c>
      <c r="B123" s="8" t="n">
        <v>0.015</v>
      </c>
      <c r="C123" s="3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6"/>
  </cols>
  <sheetData>
    <row r="1" customFormat="false" ht="17.25" hidden="false" customHeight="true" outlineLevel="0" collapsed="false">
      <c r="A1" s="2" t="s">
        <v>188</v>
      </c>
    </row>
    <row r="2" customFormat="false" ht="15" hidden="false" customHeight="true" outlineLevel="0" collapsed="false">
      <c r="A2" s="3" t="s">
        <v>189</v>
      </c>
    </row>
    <row r="4" customFormat="false" ht="15" hidden="false" customHeight="true" outlineLevel="0" collapsed="false">
      <c r="A4" s="9"/>
      <c r="B4" s="9" t="s">
        <v>190</v>
      </c>
      <c r="C4" s="9" t="s">
        <v>191</v>
      </c>
      <c r="D4" s="9" t="s">
        <v>192</v>
      </c>
    </row>
    <row r="5" customFormat="false" ht="15" hidden="false" customHeight="true" outlineLevel="0" collapsed="false">
      <c r="A5" s="5" t="s">
        <v>193</v>
      </c>
      <c r="B5" s="10" t="n">
        <f aca="false">Conservative!E39</f>
        <v>3445</v>
      </c>
      <c r="C5" s="10" t="n">
        <f aca="false">Expected!E39</f>
        <v>15433</v>
      </c>
      <c r="D5" s="10" t="n">
        <f aca="false">Optimistic!E39</f>
        <v>57029</v>
      </c>
    </row>
    <row r="6" customFormat="false" ht="15" hidden="false" customHeight="true" outlineLevel="0" collapsed="false">
      <c r="A6" s="5" t="s">
        <v>194</v>
      </c>
      <c r="B6" s="10" t="n">
        <f aca="false">Conservative!B39</f>
        <v>2854</v>
      </c>
      <c r="C6" s="10" t="n">
        <f aca="false">Expected!B39</f>
        <v>14842</v>
      </c>
      <c r="D6" s="10" t="n">
        <f aca="false">Optimistic!B39</f>
        <v>56438</v>
      </c>
    </row>
    <row r="7" customFormat="false" ht="15" hidden="false" customHeight="true" outlineLevel="0" collapsed="false">
      <c r="A7" s="5" t="s">
        <v>195</v>
      </c>
      <c r="B7" s="10" t="n">
        <f aca="false">Conservative!C39</f>
        <v>540</v>
      </c>
      <c r="C7" s="10" t="n">
        <f aca="false">Expected!C39</f>
        <v>540</v>
      </c>
      <c r="D7" s="10" t="n">
        <f aca="false">Optimistic!C39</f>
        <v>540</v>
      </c>
    </row>
    <row r="8" customFormat="false" ht="15" hidden="false" customHeight="true" outlineLevel="0" collapsed="false">
      <c r="A8" s="5" t="s">
        <v>196</v>
      </c>
      <c r="B8" s="10" t="n">
        <f aca="false">Conservative!D39</f>
        <v>51</v>
      </c>
      <c r="C8" s="10" t="n">
        <f aca="false">Expected!D39</f>
        <v>51</v>
      </c>
      <c r="D8" s="10" t="n">
        <f aca="false">Optimistic!D39</f>
        <v>51</v>
      </c>
    </row>
    <row r="9" customFormat="false" ht="15" hidden="false" customHeight="true" outlineLevel="0" collapsed="false">
      <c r="A9" s="5" t="s">
        <v>197</v>
      </c>
      <c r="B9" s="10" t="n">
        <f aca="false">Conservative!H39</f>
        <v>44</v>
      </c>
      <c r="C9" s="10" t="n">
        <f aca="false">Expected!H39</f>
        <v>304</v>
      </c>
      <c r="D9" s="10" t="n">
        <f aca="false">Optimistic!H39</f>
        <v>2116</v>
      </c>
    </row>
    <row r="10" customFormat="false" ht="15" hidden="false" customHeight="true" outlineLevel="0" collapsed="false">
      <c r="A10" s="5" t="s">
        <v>198</v>
      </c>
      <c r="B10" s="11" t="n">
        <f aca="false">Conservative!I39</f>
        <v>505</v>
      </c>
      <c r="C10" s="11" t="n">
        <f aca="false">Expected!I39</f>
        <v>3488</v>
      </c>
      <c r="D10" s="11" t="n">
        <f aca="false">Optimistic!I39</f>
        <v>24281</v>
      </c>
    </row>
    <row r="11" customFormat="false" ht="15" hidden="false" customHeight="true" outlineLevel="0" collapsed="false">
      <c r="A11" s="5" t="s">
        <v>199</v>
      </c>
      <c r="B11" s="11" t="n">
        <f aca="false">Conservative!M39</f>
        <v>1939</v>
      </c>
      <c r="C11" s="11" t="n">
        <f aca="false">Expected!M39</f>
        <v>9586</v>
      </c>
      <c r="D11" s="11" t="n">
        <f aca="false">Optimistic!M39</f>
        <v>46559</v>
      </c>
    </row>
    <row r="12" customFormat="false" ht="15" hidden="false" customHeight="true" outlineLevel="0" collapsed="false">
      <c r="A12" s="5" t="s">
        <v>200</v>
      </c>
      <c r="B12" s="11" t="n">
        <f aca="false">Conservative!O39</f>
        <v>1717</v>
      </c>
      <c r="C12" s="11" t="n">
        <f aca="false">Expected!O39</f>
        <v>9127</v>
      </c>
      <c r="D12" s="11" t="n">
        <f aca="false">Optimistic!O39</f>
        <v>44401</v>
      </c>
    </row>
    <row r="13" customFormat="false" ht="15" hidden="false" customHeight="true" outlineLevel="0" collapsed="false">
      <c r="A13" s="5" t="s">
        <v>201</v>
      </c>
      <c r="B13" s="11" t="n">
        <f aca="false">Conservative!P39</f>
        <v>859</v>
      </c>
      <c r="C13" s="11" t="n">
        <f aca="false">Expected!P39</f>
        <v>4564</v>
      </c>
      <c r="D13" s="11" t="n">
        <f aca="false">Optimistic!P39</f>
        <v>22201</v>
      </c>
    </row>
    <row r="14" customFormat="false" ht="15" hidden="false" customHeight="true" outlineLevel="0" collapsed="false">
      <c r="A14" s="5" t="s">
        <v>202</v>
      </c>
      <c r="B14" s="11" t="n">
        <f aca="false">Conservative!Q39</f>
        <v>11033</v>
      </c>
      <c r="C14" s="11" t="n">
        <f aca="false">Expected!Q39</f>
        <v>56802</v>
      </c>
      <c r="D14" s="11" t="n">
        <f aca="false">Optimistic!Q39</f>
        <v>236042</v>
      </c>
    </row>
    <row r="16" customFormat="false" ht="15" hidden="false" customHeight="true" outlineLevel="0" collapsed="false">
      <c r="A16" s="4" t="s">
        <v>203</v>
      </c>
    </row>
    <row r="17" customFormat="false" ht="15" hidden="false" customHeight="true" outlineLevel="0" collapsed="false">
      <c r="A17" s="5" t="s">
        <v>204</v>
      </c>
      <c r="B17" s="11" t="n">
        <f aca="false">Conservative!I40</f>
        <v>7149</v>
      </c>
      <c r="C17" s="11" t="n">
        <f aca="false">Expected!I40</f>
        <v>41836</v>
      </c>
      <c r="D17" s="11" t="n">
        <f aca="false">Optimistic!I40</f>
        <v>246709</v>
      </c>
    </row>
    <row r="18" customFormat="false" ht="15" hidden="false" customHeight="true" outlineLevel="0" collapsed="false">
      <c r="A18" s="5" t="s">
        <v>205</v>
      </c>
      <c r="B18" s="11" t="n">
        <f aca="false">Conservative!J40</f>
        <v>2345</v>
      </c>
      <c r="C18" s="11" t="n">
        <f aca="false">Expected!J40</f>
        <v>8425</v>
      </c>
      <c r="D18" s="11" t="n">
        <f aca="false">Optimistic!J40</f>
        <v>25610</v>
      </c>
    </row>
    <row r="19" customFormat="false" ht="15" hidden="false" customHeight="true" outlineLevel="0" collapsed="false">
      <c r="A19" s="5" t="s">
        <v>206</v>
      </c>
      <c r="B19" s="11" t="n">
        <f aca="false">Conservative!K40</f>
        <v>20449</v>
      </c>
      <c r="C19" s="11" t="n">
        <f aca="false">Expected!K40</f>
        <v>74296</v>
      </c>
      <c r="D19" s="11" t="n">
        <f aca="false">Optimistic!K40</f>
        <v>227747</v>
      </c>
    </row>
    <row r="20" customFormat="false" ht="15" hidden="false" customHeight="true" outlineLevel="0" collapsed="false">
      <c r="A20" s="5" t="s">
        <v>207</v>
      </c>
      <c r="B20" s="11" t="n">
        <f aca="false">Conservative!L40</f>
        <v>1858</v>
      </c>
      <c r="C20" s="11" t="n">
        <f aca="false">Expected!L40</f>
        <v>1858</v>
      </c>
      <c r="D20" s="11" t="n">
        <f aca="false">Optimistic!L40</f>
        <v>1858</v>
      </c>
    </row>
    <row r="21" customFormat="false" ht="15" hidden="false" customHeight="true" outlineLevel="0" collapsed="false">
      <c r="A21" s="5" t="s">
        <v>208</v>
      </c>
      <c r="B21" s="11" t="n">
        <f aca="false">Conservative!M40</f>
        <v>31801</v>
      </c>
      <c r="C21" s="11" t="n">
        <f aca="false">Expected!M40</f>
        <v>126415</v>
      </c>
      <c r="D21" s="11" t="n">
        <f aca="false">Optimistic!M40</f>
        <v>501924</v>
      </c>
    </row>
    <row r="22" customFormat="false" ht="15" hidden="false" customHeight="true" outlineLevel="0" collapsed="false">
      <c r="A22" s="5" t="s">
        <v>209</v>
      </c>
      <c r="B22" s="11" t="n">
        <f aca="false">Conservative!N40</f>
        <v>10243</v>
      </c>
      <c r="C22" s="11" t="n">
        <f aca="false">Expected!N40</f>
        <v>13007</v>
      </c>
      <c r="D22" s="11" t="n">
        <f aca="false">Optimistic!N40</f>
        <v>30011</v>
      </c>
    </row>
    <row r="23" customFormat="false" ht="15" hidden="false" customHeight="true" outlineLevel="0" collapsed="false">
      <c r="A23" s="5" t="s">
        <v>210</v>
      </c>
      <c r="B23" s="11" t="n">
        <f aca="false">Conservative!O40</f>
        <v>21558</v>
      </c>
      <c r="C23" s="11" t="n">
        <f aca="false">Expected!O40</f>
        <v>113408</v>
      </c>
      <c r="D23" s="11" t="n">
        <f aca="false">Optimistic!O40</f>
        <v>471913</v>
      </c>
    </row>
    <row r="24" customFormat="false" ht="15" hidden="false" customHeight="true" outlineLevel="0" collapsed="false">
      <c r="A24" s="5" t="s">
        <v>211</v>
      </c>
      <c r="B24" s="11" t="n">
        <f aca="false">Conservative!P40</f>
        <v>10525</v>
      </c>
      <c r="C24" s="11" t="n">
        <f aca="false">Expected!P40</f>
        <v>56606</v>
      </c>
      <c r="D24" s="11" t="n">
        <f aca="false">Optimistic!P40</f>
        <v>235871</v>
      </c>
    </row>
    <row r="26" customFormat="false" ht="15" hidden="false" customHeight="true" outlineLevel="0" collapsed="false">
      <c r="A26" s="4" t="s">
        <v>212</v>
      </c>
    </row>
    <row r="27" customFormat="false" ht="15" hidden="false" customHeight="true" outlineLevel="0" collapsed="false">
      <c r="A27" s="5" t="s">
        <v>213</v>
      </c>
      <c r="B27" s="12" t="n">
        <f aca="false">Assumptions!B22</f>
        <v>0.0015</v>
      </c>
      <c r="C27" s="12" t="n">
        <f aca="false">Assumptions!B23</f>
        <v>0.0025</v>
      </c>
      <c r="D27" s="12" t="n">
        <f aca="false">Assumptions!B24</f>
        <v>0.005</v>
      </c>
    </row>
    <row r="28" customFormat="false" ht="15" hidden="false" customHeight="true" outlineLevel="0" collapsed="false">
      <c r="A28" s="5" t="s">
        <v>214</v>
      </c>
      <c r="B28" s="12" t="n">
        <f aca="false">Assumptions!B34</f>
        <v>0.1</v>
      </c>
      <c r="C28" s="12" t="n">
        <f aca="false">Assumptions!B35</f>
        <v>0.14</v>
      </c>
      <c r="D28" s="12" t="n">
        <f aca="false">Assumptions!B36</f>
        <v>0.18</v>
      </c>
    </row>
    <row r="29" customFormat="false" ht="15" hidden="false" customHeight="true" outlineLevel="0" collapsed="false">
      <c r="A29" s="5" t="s">
        <v>215</v>
      </c>
      <c r="B29" s="12" t="n">
        <f aca="false">Assumptions!B50</f>
        <v>0.08</v>
      </c>
      <c r="C29" s="12" t="n">
        <f aca="false">Assumptions!B51</f>
        <v>0.07</v>
      </c>
      <c r="D29" s="12" t="n">
        <f aca="false">Assumptions!B52</f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17" min="2" style="1" width="13"/>
  </cols>
  <sheetData>
    <row r="1" customFormat="false" ht="17.25" hidden="false" customHeight="true" outlineLevel="0" collapsed="false">
      <c r="A1" s="2" t="s">
        <v>216</v>
      </c>
    </row>
    <row r="3" customFormat="false" ht="23.25" hidden="false" customHeight="true" outlineLevel="0" collapsed="false">
      <c r="A3" s="9" t="s">
        <v>217</v>
      </c>
      <c r="B3" s="9" t="s">
        <v>218</v>
      </c>
      <c r="C3" s="9" t="s">
        <v>219</v>
      </c>
      <c r="D3" s="9" t="s">
        <v>220</v>
      </c>
      <c r="E3" s="9" t="s">
        <v>221</v>
      </c>
      <c r="F3" s="9" t="s">
        <v>222</v>
      </c>
      <c r="G3" s="9" t="s">
        <v>223</v>
      </c>
      <c r="H3" s="9" t="s">
        <v>224</v>
      </c>
      <c r="I3" s="9" t="s">
        <v>225</v>
      </c>
      <c r="J3" s="9" t="s">
        <v>226</v>
      </c>
      <c r="K3" s="9" t="s">
        <v>227</v>
      </c>
      <c r="L3" s="9" t="s">
        <v>228</v>
      </c>
      <c r="M3" s="9" t="s">
        <v>229</v>
      </c>
      <c r="N3" s="9" t="s">
        <v>230</v>
      </c>
      <c r="O3" s="9" t="s">
        <v>231</v>
      </c>
      <c r="P3" s="9" t="s">
        <v>232</v>
      </c>
      <c r="Q3" s="9" t="s">
        <v>233</v>
      </c>
    </row>
    <row r="4" customFormat="false" ht="15" hidden="false" customHeight="true" outlineLevel="0" collapsed="false">
      <c r="A4" s="5" t="n">
        <v>1</v>
      </c>
      <c r="B4" s="10" t="n">
        <f aca="false">Assumptions!B30</f>
        <v>250</v>
      </c>
      <c r="C4" s="13" t="n">
        <f aca="false">ROUND(IF(A4&lt;Assumptions!B100,0,IF(A4&lt;=8,Assumptions!B103,IF(A4&lt;=12,Assumptions!B104,IF(A4&lt;=18,Assumptions!B105,IF(A4&lt;=24,Assumptions!B106,Assumptions!B107))))*(1+IF(A4&gt;=Assumptions!B101,Assumptions!B109,0))*Assumptions!B111),0)</f>
        <v>0</v>
      </c>
      <c r="D4" s="13" t="n">
        <f aca="false">ROUND(Assumptions!B119*Assumptions!B123,0)</f>
        <v>1</v>
      </c>
      <c r="E4" s="13" t="n">
        <f aca="false">B4+C4+D4</f>
        <v>251</v>
      </c>
      <c r="F4" s="13" t="n">
        <f aca="false">ROUND(E4*Assumptions!B22,0)</f>
        <v>0</v>
      </c>
      <c r="G4" s="13" t="n">
        <v>0</v>
      </c>
      <c r="H4" s="13" t="n">
        <f aca="false">F4</f>
        <v>0</v>
      </c>
      <c r="I4" s="14" t="n">
        <f aca="false">ROUND(H4*Assumptions!B14,0)</f>
        <v>0</v>
      </c>
      <c r="J4" s="14" t="n">
        <f aca="false">ROUND(E4*Assumptions!B95*Assumptions!B96*Assumptions!B97*Assumptions!B94,0)</f>
        <v>10</v>
      </c>
      <c r="K4" s="14" t="n">
        <v>0</v>
      </c>
      <c r="L4" s="14" t="n">
        <f aca="false">ROUND(IF(A4&lt;Assumptions!B113,0,IF(A4&lt;=18,Assumptions!B105,Assumptions!B107)/1000*Assumptions!B115*0.55+IF(A4&gt;=Assumptions!B114,IF(A4&lt;=18,Assumptions!B105,Assumptions!B107)*Assumptions!B109/1000*Assumptions!B116*0.55,0)),0)</f>
        <v>0</v>
      </c>
      <c r="M4" s="14" t="n">
        <f aca="false">I4+J4+K4+L4</f>
        <v>10</v>
      </c>
      <c r="N4" s="14" t="n">
        <f aca="false">ROUND(H4*Assumptions!B62*Assumptions!B61,0)+Assumptions!B63+IF(H4&gt;Assumptions!B64,45,0)+Assumptions!B65+Assumptions!B66+Assumptions!B67+Assumptions!B68+Assumptions!B69/12+IF(A4&gt;=3,Assumptions!B72,0)+ROUND(I4*Assumptions!B70+H4*Assumptions!B71,0)+Assumptions!B75+Assumptions!B76+Assumptions!B77</f>
        <v>3366</v>
      </c>
      <c r="O4" s="14" t="n">
        <f aca="false">M4-N4</f>
        <v>-3356</v>
      </c>
      <c r="P4" s="14" t="n">
        <f aca="false">IF(O4&lt;N4*Assumptions!B89,0,IF(O4&lt;N4*6,ROUND(MAX(O4,0)*Assumptions!B90,0),ROUND(MAX(O4,0)*Assumptions!B91,0)))</f>
        <v>0</v>
      </c>
      <c r="Q4" s="14" t="n">
        <f aca="false">O4-P4</f>
        <v>-3356</v>
      </c>
    </row>
    <row r="5" customFormat="false" ht="15" hidden="false" customHeight="true" outlineLevel="0" collapsed="false">
      <c r="A5" s="15" t="n">
        <v>2</v>
      </c>
      <c r="B5" s="16" t="n">
        <f aca="false">ROUND(B4*(1+Assumptions!B34),0)</f>
        <v>275</v>
      </c>
      <c r="C5" s="16" t="n">
        <f aca="false">ROUND(IF(A5&lt;Assumptions!B100,0,IF(A5&lt;=8,Assumptions!B103,IF(A5&lt;=12,Assumptions!B104,IF(A5&lt;=18,Assumptions!B105,IF(A5&lt;=24,Assumptions!B106,Assumptions!B107))))*(1+IF(A5&gt;=Assumptions!B101,Assumptions!B109,0))*Assumptions!B111),0)</f>
        <v>0</v>
      </c>
      <c r="D5" s="16" t="n">
        <f aca="false">ROUND(ROUND(Assumptions!B119*(1+Assumptions!B120)^(A5-1),0)*Assumptions!B123,0)</f>
        <v>1</v>
      </c>
      <c r="E5" s="16" t="n">
        <f aca="false">B5+C5+D5</f>
        <v>276</v>
      </c>
      <c r="F5" s="16" t="n">
        <f aca="false">ROUND(E5*Assumptions!B22,0)</f>
        <v>0</v>
      </c>
      <c r="G5" s="16" t="n">
        <f aca="false">ROUND(H4*Assumptions!B50,0)</f>
        <v>0</v>
      </c>
      <c r="H5" s="16" t="n">
        <f aca="false">H4+F5-G5</f>
        <v>0</v>
      </c>
      <c r="I5" s="17" t="n">
        <f aca="false">ROUND(H5*Assumptions!B14,0)</f>
        <v>0</v>
      </c>
      <c r="J5" s="17" t="n">
        <f aca="false">ROUND(E5*Assumptions!B95*Assumptions!B96*Assumptions!B97*Assumptions!B94,0)</f>
        <v>11</v>
      </c>
      <c r="K5" s="17" t="n">
        <v>0</v>
      </c>
      <c r="L5" s="17" t="n">
        <f aca="false">ROUND(IF(A5&lt;Assumptions!B113,0,IF(A5&lt;=18,Assumptions!B105,Assumptions!B107)/1000*Assumptions!B115*0.55+IF(A5&gt;=Assumptions!B114,IF(A5&lt;=18,Assumptions!B105,Assumptions!B107)*Assumptions!B109/1000*Assumptions!B116*0.55,0)),0)</f>
        <v>0</v>
      </c>
      <c r="M5" s="17" t="n">
        <f aca="false">I5+J5+K5+L5</f>
        <v>11</v>
      </c>
      <c r="N5" s="17" t="n">
        <f aca="false">ROUND(H5*Assumptions!B62*Assumptions!B61,0)+Assumptions!B63+IF(H5&gt;Assumptions!B64,45,0)+Assumptions!B65+Assumptions!B66+Assumptions!B67+Assumptions!B68+Assumptions!B69/12+IF(A5&gt;=3,Assumptions!B72,0)+ROUND(I5*Assumptions!B70+H5*Assumptions!B71,0)+0</f>
        <v>116</v>
      </c>
      <c r="O5" s="17" t="n">
        <f aca="false">M5-N5</f>
        <v>-105</v>
      </c>
      <c r="P5" s="17" t="n">
        <f aca="false">IF((Q4+O5)&lt;N5*Assumptions!B89,0,IF((Q4+O5)&lt;N5*6,ROUND(MAX(O5,0)*Assumptions!B90,0),ROUND(MAX(O5,0)*Assumptions!B91,0)))</f>
        <v>0</v>
      </c>
      <c r="Q5" s="17" t="n">
        <f aca="false">Q4+O5-P5</f>
        <v>-3461</v>
      </c>
    </row>
    <row r="6" customFormat="false" ht="15" hidden="false" customHeight="true" outlineLevel="0" collapsed="false">
      <c r="A6" s="5" t="n">
        <v>3</v>
      </c>
      <c r="B6" s="13" t="n">
        <f aca="false">ROUND(B5*(1+Assumptions!B34)*Assumptions!B46,0)</f>
        <v>348</v>
      </c>
      <c r="C6" s="13" t="n">
        <f aca="false">ROUND(IF(A6&lt;Assumptions!B100,0,IF(A6&lt;=8,Assumptions!B103,IF(A6&lt;=12,Assumptions!B104,IF(A6&lt;=18,Assumptions!B105,IF(A6&lt;=24,Assumptions!B106,Assumptions!B107))))*(1+IF(A6&gt;=Assumptions!B101,Assumptions!B109,0))*Assumptions!B111),0)</f>
        <v>10</v>
      </c>
      <c r="D6" s="13" t="n">
        <f aca="false">ROUND(ROUND(Assumptions!B119*(1+Assumptions!B120)^(A6-1),0)*Assumptions!B123,0)</f>
        <v>1</v>
      </c>
      <c r="E6" s="13" t="n">
        <f aca="false">B6+C6+D6</f>
        <v>359</v>
      </c>
      <c r="F6" s="13" t="n">
        <f aca="false">ROUND(E6*Assumptions!B22,0)</f>
        <v>1</v>
      </c>
      <c r="G6" s="13" t="n">
        <f aca="false">ROUND(H5*Assumptions!B50,0)</f>
        <v>0</v>
      </c>
      <c r="H6" s="13" t="n">
        <f aca="false">H5+F6-G6</f>
        <v>1</v>
      </c>
      <c r="I6" s="14" t="n">
        <f aca="false">ROUND(H6*Assumptions!B14,0)</f>
        <v>8</v>
      </c>
      <c r="J6" s="14" t="n">
        <f aca="false">ROUND(E6*Assumptions!B95*Assumptions!B96*Assumptions!B97*Assumptions!B94,0)</f>
        <v>14</v>
      </c>
      <c r="K6" s="14" t="n">
        <v>0</v>
      </c>
      <c r="L6" s="14" t="n">
        <f aca="false">ROUND(IF(A6&lt;Assumptions!B113,0,IF(A6&lt;=18,Assumptions!B105,Assumptions!B107)/1000*Assumptions!B115*0.55+IF(A6&gt;=Assumptions!B114,IF(A6&lt;=18,Assumptions!B105,Assumptions!B107)*Assumptions!B109/1000*Assumptions!B116*0.55,0)),0)</f>
        <v>0</v>
      </c>
      <c r="M6" s="14" t="n">
        <f aca="false">I6+J6+K6+L6</f>
        <v>22</v>
      </c>
      <c r="N6" s="14" t="n">
        <f aca="false">ROUND(H6*Assumptions!B62*Assumptions!B61,0)+Assumptions!B63+IF(H6&gt;Assumptions!B64,45,0)+Assumptions!B65+Assumptions!B66+Assumptions!B67+Assumptions!B68+Assumptions!B69/12+IF(A6&gt;=3,Assumptions!B72,0)+ROUND(I6*Assumptions!B70+H6*Assumptions!B71,0)+0</f>
        <v>183</v>
      </c>
      <c r="O6" s="14" t="n">
        <f aca="false">M6-N6</f>
        <v>-161</v>
      </c>
      <c r="P6" s="14" t="n">
        <f aca="false">IF((Q5+O6)&lt;N6*Assumptions!B89,0,IF((Q5+O6)&lt;N6*6,ROUND(MAX(O6,0)*Assumptions!B90,0),ROUND(MAX(O6,0)*Assumptions!B91,0)))</f>
        <v>0</v>
      </c>
      <c r="Q6" s="14" t="n">
        <f aca="false">Q5+O6-P6</f>
        <v>-3622</v>
      </c>
    </row>
    <row r="7" customFormat="false" ht="15" hidden="false" customHeight="true" outlineLevel="0" collapsed="false">
      <c r="A7" s="15" t="n">
        <v>4</v>
      </c>
      <c r="B7" s="16" t="n">
        <f aca="false">ROUND(B6*(1+Assumptions!B34),0)</f>
        <v>383</v>
      </c>
      <c r="C7" s="16" t="n">
        <f aca="false">ROUND(IF(A7&lt;Assumptions!B100,0,IF(A7&lt;=8,Assumptions!B103,IF(A7&lt;=12,Assumptions!B104,IF(A7&lt;=18,Assumptions!B105,IF(A7&lt;=24,Assumptions!B106,Assumptions!B107))))*(1+IF(A7&gt;=Assumptions!B101,Assumptions!B109,0))*Assumptions!B111),0)</f>
        <v>10</v>
      </c>
      <c r="D7" s="16" t="n">
        <f aca="false">ROUND(ROUND(Assumptions!B119*(1+Assumptions!B120)^(A7-1),0)*Assumptions!B123,0)</f>
        <v>1</v>
      </c>
      <c r="E7" s="16" t="n">
        <f aca="false">B7+C7+D7</f>
        <v>394</v>
      </c>
      <c r="F7" s="16" t="n">
        <f aca="false">ROUND(E7*Assumptions!B22,0)</f>
        <v>1</v>
      </c>
      <c r="G7" s="16" t="n">
        <f aca="false">ROUND(H6*Assumptions!B50,0)</f>
        <v>0</v>
      </c>
      <c r="H7" s="16" t="n">
        <f aca="false">H6+F7-G7</f>
        <v>2</v>
      </c>
      <c r="I7" s="17" t="n">
        <f aca="false">ROUND(H7*Assumptions!B14,0)</f>
        <v>16</v>
      </c>
      <c r="J7" s="17" t="n">
        <f aca="false">ROUND(E7*Assumptions!B95*Assumptions!B96*Assumptions!B97*Assumptions!B94,0)</f>
        <v>15</v>
      </c>
      <c r="K7" s="17" t="n">
        <v>0</v>
      </c>
      <c r="L7" s="17" t="n">
        <f aca="false">ROUND(IF(A7&lt;Assumptions!B113,0,IF(A7&lt;=18,Assumptions!B105,Assumptions!B107)/1000*Assumptions!B115*0.55+IF(A7&gt;=Assumptions!B114,IF(A7&lt;=18,Assumptions!B105,Assumptions!B107)*Assumptions!B109/1000*Assumptions!B116*0.55,0)),0)</f>
        <v>0</v>
      </c>
      <c r="M7" s="17" t="n">
        <f aca="false">I7+J7+K7+L7</f>
        <v>31</v>
      </c>
      <c r="N7" s="17" t="n">
        <f aca="false">ROUND(H7*Assumptions!B62*Assumptions!B61,0)+Assumptions!B63+IF(H7&gt;Assumptions!B64,45,0)+Assumptions!B65+Assumptions!B66+Assumptions!B67+Assumptions!B68+Assumptions!B69/12+IF(A7&gt;=3,Assumptions!B72,0)+ROUND(I7*Assumptions!B70+H7*Assumptions!B71,0)+0</f>
        <v>184</v>
      </c>
      <c r="O7" s="17" t="n">
        <f aca="false">M7-N7</f>
        <v>-153</v>
      </c>
      <c r="P7" s="17" t="n">
        <f aca="false">IF((Q6+O7)&lt;N7*Assumptions!B89,0,IF((Q6+O7)&lt;N7*6,ROUND(MAX(O7,0)*Assumptions!B90,0),ROUND(MAX(O7,0)*Assumptions!B91,0)))</f>
        <v>0</v>
      </c>
      <c r="Q7" s="17" t="n">
        <f aca="false">Q6+O7-P7</f>
        <v>-3775</v>
      </c>
    </row>
    <row r="8" customFormat="false" ht="15" hidden="false" customHeight="true" outlineLevel="0" collapsed="false">
      <c r="A8" s="5" t="n">
        <v>5</v>
      </c>
      <c r="B8" s="13" t="n">
        <f aca="false">ROUND(B7*(1+Assumptions!B34),0)</f>
        <v>421</v>
      </c>
      <c r="C8" s="13" t="n">
        <f aca="false">ROUND(IF(A8&lt;Assumptions!B100,0,IF(A8&lt;=8,Assumptions!B103,IF(A8&lt;=12,Assumptions!B104,IF(A8&lt;=18,Assumptions!B105,IF(A8&lt;=24,Assumptions!B106,Assumptions!B107))))*(1+IF(A8&gt;=Assumptions!B101,Assumptions!B109,0))*Assumptions!B111),0)</f>
        <v>10</v>
      </c>
      <c r="D8" s="13" t="n">
        <f aca="false">ROUND(ROUND(Assumptions!B119*(1+Assumptions!B120)^(A8-1),0)*Assumptions!B123,0)</f>
        <v>2</v>
      </c>
      <c r="E8" s="13" t="n">
        <f aca="false">B8+C8+D8</f>
        <v>433</v>
      </c>
      <c r="F8" s="13" t="n">
        <f aca="false">ROUND(E8*Assumptions!B22,0)</f>
        <v>1</v>
      </c>
      <c r="G8" s="13" t="n">
        <f aca="false">ROUND(H7*Assumptions!B50,0)</f>
        <v>0</v>
      </c>
      <c r="H8" s="13" t="n">
        <f aca="false">H7+F8-G8</f>
        <v>3</v>
      </c>
      <c r="I8" s="14" t="n">
        <f aca="false">ROUND(H8*Assumptions!B14,0)</f>
        <v>24</v>
      </c>
      <c r="J8" s="14" t="n">
        <f aca="false">ROUND(E8*Assumptions!B95*Assumptions!B96*Assumptions!B97*Assumptions!B94,0)</f>
        <v>17</v>
      </c>
      <c r="K8" s="14" t="n">
        <v>0</v>
      </c>
      <c r="L8" s="14" t="n">
        <f aca="false">ROUND(IF(A8&lt;Assumptions!B113,0,IF(A8&lt;=18,Assumptions!B105,Assumptions!B107)/1000*Assumptions!B115*0.55+IF(A8&gt;=Assumptions!B114,IF(A8&lt;=18,Assumptions!B105,Assumptions!B107)*Assumptions!B109/1000*Assumptions!B116*0.55,0)),0)</f>
        <v>0</v>
      </c>
      <c r="M8" s="14" t="n">
        <f aca="false">I8+J8+K8+L8</f>
        <v>41</v>
      </c>
      <c r="N8" s="14" t="n">
        <f aca="false">ROUND(H8*Assumptions!B62*Assumptions!B61,0)+Assumptions!B63+IF(H8&gt;Assumptions!B64,45,0)+Assumptions!B65+Assumptions!B66+Assumptions!B67+Assumptions!B68+Assumptions!B69/12+IF(A8&gt;=3,Assumptions!B72,0)+ROUND(I8*Assumptions!B70+H8*Assumptions!B71,0)+0</f>
        <v>185</v>
      </c>
      <c r="O8" s="14" t="n">
        <f aca="false">M8-N8</f>
        <v>-144</v>
      </c>
      <c r="P8" s="14" t="n">
        <f aca="false">IF((Q7+O8)&lt;N8*Assumptions!B89,0,IF((Q7+O8)&lt;N8*6,ROUND(MAX(O8,0)*Assumptions!B90,0),ROUND(MAX(O8,0)*Assumptions!B91,0)))</f>
        <v>0</v>
      </c>
      <c r="Q8" s="14" t="n">
        <f aca="false">Q7+O8-P8</f>
        <v>-3919</v>
      </c>
    </row>
    <row r="9" customFormat="false" ht="15" hidden="false" customHeight="true" outlineLevel="0" collapsed="false">
      <c r="A9" s="15" t="n">
        <v>6</v>
      </c>
      <c r="B9" s="16" t="n">
        <f aca="false">ROUND(B8*(1+Assumptions!B34)*Assumptions!B47,0)</f>
        <v>500</v>
      </c>
      <c r="C9" s="16" t="n">
        <f aca="false">ROUND(IF(A9&lt;Assumptions!B100,0,IF(A9&lt;=8,Assumptions!B103,IF(A9&lt;=12,Assumptions!B104,IF(A9&lt;=18,Assumptions!B105,IF(A9&lt;=24,Assumptions!B106,Assumptions!B107))))*(1+IF(A9&gt;=Assumptions!B101,Assumptions!B109,0))*Assumptions!B111),0)</f>
        <v>10</v>
      </c>
      <c r="D9" s="16" t="n">
        <f aca="false">ROUND(ROUND(Assumptions!B119*(1+Assumptions!B120)^(A9-1),0)*Assumptions!B123,0)</f>
        <v>2</v>
      </c>
      <c r="E9" s="16" t="n">
        <f aca="false">B9+C9+D9</f>
        <v>512</v>
      </c>
      <c r="F9" s="16" t="n">
        <f aca="false">ROUND(E9*Assumptions!B22,0)</f>
        <v>1</v>
      </c>
      <c r="G9" s="16" t="n">
        <f aca="false">ROUND(H8*Assumptions!B50,0)</f>
        <v>0</v>
      </c>
      <c r="H9" s="16" t="n">
        <f aca="false">H8+F9-G9</f>
        <v>4</v>
      </c>
      <c r="I9" s="17" t="n">
        <f aca="false">ROUND(H9*Assumptions!B14,0)</f>
        <v>32</v>
      </c>
      <c r="J9" s="17" t="n">
        <f aca="false">ROUND(E9*Assumptions!B95*Assumptions!B96*Assumptions!B97*Assumptions!B94,0)</f>
        <v>20</v>
      </c>
      <c r="K9" s="17" t="n">
        <f aca="false">ROUND(E9*Assumptions!B57*Assumptions!B58,0)</f>
        <v>179</v>
      </c>
      <c r="L9" s="17" t="n">
        <f aca="false">ROUND(IF(A9&lt;Assumptions!B113,0,IF(A9&lt;=18,Assumptions!B105,Assumptions!B107)/1000*Assumptions!B115*0.55+IF(A9&gt;=Assumptions!B114,IF(A9&lt;=18,Assumptions!B105,Assumptions!B107)*Assumptions!B109/1000*Assumptions!B116*0.55,0)),0)</f>
        <v>0</v>
      </c>
      <c r="M9" s="17" t="n">
        <f aca="false">I9+J9+K9+L9</f>
        <v>231</v>
      </c>
      <c r="N9" s="17" t="n">
        <f aca="false">ROUND(H9*Assumptions!B62*Assumptions!B61,0)+Assumptions!B63+IF(H9&gt;Assumptions!B64,45,0)+Assumptions!B65+Assumptions!B66+Assumptions!B67+Assumptions!B68+Assumptions!B69/12+IF(A9&gt;=3,Assumptions!B72,0)+ROUND(I9*Assumptions!B70+H9*Assumptions!B71,0)+0</f>
        <v>185</v>
      </c>
      <c r="O9" s="17" t="n">
        <f aca="false">M9-N9</f>
        <v>46</v>
      </c>
      <c r="P9" s="17" t="n">
        <f aca="false">IF((Q8+O9)&lt;N9*Assumptions!B89,0,IF((Q8+O9)&lt;N9*6,ROUND(MAX(O9,0)*Assumptions!B90,0),ROUND(MAX(O9,0)*Assumptions!B91,0)))</f>
        <v>0</v>
      </c>
      <c r="Q9" s="17" t="n">
        <f aca="false">Q8+O9-P9</f>
        <v>-3873</v>
      </c>
    </row>
    <row r="10" customFormat="false" ht="15" hidden="false" customHeight="true" outlineLevel="0" collapsed="false">
      <c r="A10" s="5" t="n">
        <v>7</v>
      </c>
      <c r="B10" s="13" t="n">
        <f aca="false">ROUND(B9*(1+Assumptions!B34),0)</f>
        <v>550</v>
      </c>
      <c r="C10" s="13" t="n">
        <f aca="false">ROUND(IF(A10&lt;Assumptions!B100,0,IF(A10&lt;=8,Assumptions!B103,IF(A10&lt;=12,Assumptions!B104,IF(A10&lt;=18,Assumptions!B105,IF(A10&lt;=24,Assumptions!B106,Assumptions!B107))))*(1+IF(A10&gt;=Assumptions!B101,Assumptions!B109,0))*Assumptions!B111),0)</f>
        <v>10</v>
      </c>
      <c r="D10" s="13" t="n">
        <f aca="false">ROUND(ROUND(Assumptions!B119*(1+Assumptions!B120)^6*(1+Assumptions!B121)^(A10-6),0)*Assumptions!B123,0)</f>
        <v>3</v>
      </c>
      <c r="E10" s="13" t="n">
        <f aca="false">B10+C10+D10</f>
        <v>563</v>
      </c>
      <c r="F10" s="13" t="n">
        <f aca="false">ROUND(E10*Assumptions!B22,0)</f>
        <v>1</v>
      </c>
      <c r="G10" s="13" t="n">
        <f aca="false">ROUND(H9*Assumptions!B50,0)</f>
        <v>0</v>
      </c>
      <c r="H10" s="13" t="n">
        <f aca="false">H9+F10-G10</f>
        <v>5</v>
      </c>
      <c r="I10" s="14" t="n">
        <f aca="false">ROUND(H10*Assumptions!B14,0)</f>
        <v>40</v>
      </c>
      <c r="J10" s="14" t="n">
        <f aca="false">ROUND(E10*Assumptions!B95*Assumptions!B96*Assumptions!B97*Assumptions!B94,0)</f>
        <v>22</v>
      </c>
      <c r="K10" s="14" t="n">
        <f aca="false">ROUND(E10*Assumptions!B57*Assumptions!B58,0)</f>
        <v>197</v>
      </c>
      <c r="L10" s="14" t="n">
        <f aca="false">ROUND(IF(A10&lt;Assumptions!B113,0,IF(A10&lt;=18,Assumptions!B105,Assumptions!B107)/1000*Assumptions!B115*0.55+IF(A10&gt;=Assumptions!B114,IF(A10&lt;=18,Assumptions!B105,Assumptions!B107)*Assumptions!B109/1000*Assumptions!B116*0.55,0)),0)</f>
        <v>0</v>
      </c>
      <c r="M10" s="14" t="n">
        <f aca="false">I10+J10+K10+L10</f>
        <v>259</v>
      </c>
      <c r="N10" s="14" t="n">
        <f aca="false">ROUND(H10*Assumptions!B62*Assumptions!B61,0)+Assumptions!B63+IF(H10&gt;Assumptions!B64,45,0)+Assumptions!B65+Assumptions!B66+Assumptions!B67+Assumptions!B68+Assumptions!B69/12+IF(A10&gt;=3,Assumptions!B72,0)+ROUND(I10*Assumptions!B70+H10*Assumptions!B71,0)+0</f>
        <v>186</v>
      </c>
      <c r="O10" s="14" t="n">
        <f aca="false">M10-N10</f>
        <v>73</v>
      </c>
      <c r="P10" s="14" t="n">
        <f aca="false">IF((Q9+O10)&lt;N10*Assumptions!B89,0,IF((Q9+O10)&lt;N10*6,ROUND(MAX(O10,0)*Assumptions!B90,0),ROUND(MAX(O10,0)*Assumptions!B91,0)))</f>
        <v>0</v>
      </c>
      <c r="Q10" s="14" t="n">
        <f aca="false">Q9+O10-P10</f>
        <v>-3800</v>
      </c>
    </row>
    <row r="11" customFormat="false" ht="15" hidden="false" customHeight="true" outlineLevel="0" collapsed="false">
      <c r="A11" s="15" t="n">
        <v>8</v>
      </c>
      <c r="B11" s="16" t="n">
        <f aca="false">ROUND(B10*(1+Assumptions!B34),0)</f>
        <v>605</v>
      </c>
      <c r="C11" s="16" t="n">
        <f aca="false">ROUND(IF(A11&lt;Assumptions!B100,0,IF(A11&lt;=8,Assumptions!B103,IF(A11&lt;=12,Assumptions!B104,IF(A11&lt;=18,Assumptions!B105,IF(A11&lt;=24,Assumptions!B106,Assumptions!B107))))*(1+IF(A11&gt;=Assumptions!B101,Assumptions!B109,0))*Assumptions!B111),0)</f>
        <v>10</v>
      </c>
      <c r="D11" s="16" t="n">
        <f aca="false">ROUND(ROUND(Assumptions!B119*(1+Assumptions!B120)^6*(1+Assumptions!B121)^(A11-6),0)*Assumptions!B123,0)</f>
        <v>3</v>
      </c>
      <c r="E11" s="16" t="n">
        <f aca="false">B11+C11+D11</f>
        <v>618</v>
      </c>
      <c r="F11" s="16" t="n">
        <f aca="false">ROUND(E11*Assumptions!B22,0)</f>
        <v>1</v>
      </c>
      <c r="G11" s="16" t="n">
        <f aca="false">ROUND(H10*Assumptions!B50,0)</f>
        <v>0</v>
      </c>
      <c r="H11" s="16" t="n">
        <f aca="false">H10+F11-G11</f>
        <v>6</v>
      </c>
      <c r="I11" s="17" t="n">
        <f aca="false">ROUND(H11*Assumptions!B14,0)</f>
        <v>48</v>
      </c>
      <c r="J11" s="17" t="n">
        <f aca="false">ROUND(E11*Assumptions!B95*Assumptions!B96*Assumptions!B97*Assumptions!B94,0)</f>
        <v>24</v>
      </c>
      <c r="K11" s="17" t="n">
        <f aca="false">ROUND(E11*Assumptions!B57*Assumptions!B58,0)</f>
        <v>216</v>
      </c>
      <c r="L11" s="17" t="n">
        <f aca="false">ROUND(IF(A11&lt;Assumptions!B113,0,IF(A11&lt;=18,Assumptions!B105,Assumptions!B107)/1000*Assumptions!B115*0.55+IF(A11&gt;=Assumptions!B114,IF(A11&lt;=18,Assumptions!B105,Assumptions!B107)*Assumptions!B109/1000*Assumptions!B116*0.55,0)),0)</f>
        <v>0</v>
      </c>
      <c r="M11" s="17" t="n">
        <f aca="false">I11+J11+K11+L11</f>
        <v>288</v>
      </c>
      <c r="N11" s="17" t="n">
        <f aca="false">ROUND(H11*Assumptions!B62*Assumptions!B61,0)+Assumptions!B63+IF(H11&gt;Assumptions!B64,45,0)+Assumptions!B65+Assumptions!B66+Assumptions!B67+Assumptions!B68+Assumptions!B69/12+IF(A11&gt;=3,Assumptions!B72,0)+ROUND(I11*Assumptions!B70+H11*Assumptions!B71,0)+0</f>
        <v>187</v>
      </c>
      <c r="O11" s="17" t="n">
        <f aca="false">M11-N11</f>
        <v>101</v>
      </c>
      <c r="P11" s="17" t="n">
        <f aca="false">IF((Q10+O11)&lt;N11*Assumptions!B89,0,IF((Q10+O11)&lt;N11*6,ROUND(MAX(O11,0)*Assumptions!B90,0),ROUND(MAX(O11,0)*Assumptions!B91,0)))</f>
        <v>0</v>
      </c>
      <c r="Q11" s="17" t="n">
        <f aca="false">Q10+O11-P11</f>
        <v>-3699</v>
      </c>
    </row>
    <row r="12" customFormat="false" ht="15" hidden="false" customHeight="true" outlineLevel="0" collapsed="false">
      <c r="A12" s="5" t="n">
        <v>9</v>
      </c>
      <c r="B12" s="13" t="n">
        <f aca="false">ROUND(B11*(1+Assumptions!B34),0)</f>
        <v>666</v>
      </c>
      <c r="C12" s="13" t="n">
        <f aca="false">ROUND(IF(A12&lt;Assumptions!B100,0,IF(A12&lt;=8,Assumptions!B103,IF(A12&lt;=12,Assumptions!B104,IF(A12&lt;=18,Assumptions!B105,IF(A12&lt;=24,Assumptions!B106,Assumptions!B107))))*(1+IF(A12&gt;=Assumptions!B101,Assumptions!B109,0))*Assumptions!B111),0)</f>
        <v>60</v>
      </c>
      <c r="D12" s="13" t="n">
        <f aca="false">ROUND(ROUND(Assumptions!B119*(1+Assumptions!B120)^6*(1+Assumptions!B121)^(A12-6),0)*Assumptions!B123,0)</f>
        <v>3</v>
      </c>
      <c r="E12" s="13" t="n">
        <f aca="false">B12+C12+D12</f>
        <v>729</v>
      </c>
      <c r="F12" s="13" t="n">
        <f aca="false">ROUND(E12*Assumptions!B22,0)</f>
        <v>1</v>
      </c>
      <c r="G12" s="13" t="n">
        <f aca="false">ROUND(H11*Assumptions!B50,0)</f>
        <v>0</v>
      </c>
      <c r="H12" s="13" t="n">
        <f aca="false">H11+F12-G12</f>
        <v>7</v>
      </c>
      <c r="I12" s="14" t="n">
        <f aca="false">ROUND(H12*((Assumptions!B14+Assumptions!B15)/2),0)</f>
        <v>74</v>
      </c>
      <c r="J12" s="14" t="n">
        <f aca="false">ROUND(E12*Assumptions!B95*Assumptions!B96*Assumptions!B97*Assumptions!B94,0)</f>
        <v>28</v>
      </c>
      <c r="K12" s="14" t="n">
        <f aca="false">ROUND(E12*Assumptions!B57*Assumptions!B58,0)</f>
        <v>255</v>
      </c>
      <c r="L12" s="14" t="n">
        <f aca="false">ROUND(IF(A12&lt;Assumptions!B113,0,IF(A12&lt;=18,Assumptions!B105,Assumptions!B107)/1000*Assumptions!B115*0.55+IF(A12&gt;=Assumptions!B114,IF(A12&lt;=18,Assumptions!B105,Assumptions!B107)*Assumptions!B109/1000*Assumptions!B116*0.55,0)),0)</f>
        <v>0</v>
      </c>
      <c r="M12" s="14" t="n">
        <f aca="false">I12+J12+K12+L12</f>
        <v>357</v>
      </c>
      <c r="N12" s="14" t="n">
        <f aca="false">ROUND(H12*Assumptions!B62*Assumptions!B61,0)+Assumptions!B63+IF(H12&gt;Assumptions!B64,45,0)+Assumptions!B65+Assumptions!B66+Assumptions!B67+Assumptions!B68+Assumptions!B69/12+IF(A12&gt;=3,Assumptions!B72,0)+ROUND(I12*Assumptions!B70+H12*Assumptions!B71,0)+0</f>
        <v>188</v>
      </c>
      <c r="O12" s="14" t="n">
        <f aca="false">M12-N12</f>
        <v>169</v>
      </c>
      <c r="P12" s="14" t="n">
        <f aca="false">IF((Q11+O12)&lt;N12*Assumptions!B89,0,IF((Q11+O12)&lt;N12*6,ROUND(MAX(O12,0)*Assumptions!B90,0),ROUND(MAX(O12,0)*Assumptions!B91,0)))</f>
        <v>0</v>
      </c>
      <c r="Q12" s="14" t="n">
        <f aca="false">Q11+O12-P12</f>
        <v>-3530</v>
      </c>
    </row>
    <row r="13" customFormat="false" ht="15" hidden="false" customHeight="true" outlineLevel="0" collapsed="false">
      <c r="A13" s="15" t="n">
        <v>10</v>
      </c>
      <c r="B13" s="16" t="n">
        <f aca="false">ROUND(B12*(1+Assumptions!B34),0)</f>
        <v>733</v>
      </c>
      <c r="C13" s="16" t="n">
        <f aca="false">ROUND(IF(A13&lt;Assumptions!B100,0,IF(A13&lt;=8,Assumptions!B103,IF(A13&lt;=12,Assumptions!B104,IF(A13&lt;=18,Assumptions!B105,IF(A13&lt;=24,Assumptions!B106,Assumptions!B107))))*(1+IF(A13&gt;=Assumptions!B101,Assumptions!B109,0))*Assumptions!B111),0)</f>
        <v>60</v>
      </c>
      <c r="D13" s="16" t="n">
        <f aca="false">ROUND(ROUND(Assumptions!B119*(1+Assumptions!B120)^6*(1+Assumptions!B121)^(A13-6),0)*Assumptions!B123,0)</f>
        <v>4</v>
      </c>
      <c r="E13" s="16" t="n">
        <f aca="false">B13+C13+D13</f>
        <v>797</v>
      </c>
      <c r="F13" s="16" t="n">
        <f aca="false">ROUND(E13*Assumptions!B22,0)</f>
        <v>1</v>
      </c>
      <c r="G13" s="16" t="n">
        <f aca="false">ROUND(H12*Assumptions!B50,0)</f>
        <v>1</v>
      </c>
      <c r="H13" s="16" t="n">
        <f aca="false">H12+F13-G13</f>
        <v>7</v>
      </c>
      <c r="I13" s="17" t="n">
        <f aca="false">ROUND(H13*(Assumptions!B15*0.85+Assumptions!B11*0.15),0)</f>
        <v>80</v>
      </c>
      <c r="J13" s="17" t="n">
        <f aca="false">ROUND(E13*Assumptions!B95*Assumptions!B96*Assumptions!B97*Assumptions!B94,0)</f>
        <v>31</v>
      </c>
      <c r="K13" s="17" t="n">
        <f aca="false">ROUND(E13*Assumptions!B57*Assumptions!B58,0)</f>
        <v>279</v>
      </c>
      <c r="L13" s="17" t="n">
        <f aca="false">ROUND(IF(A13&lt;Assumptions!B113,0,IF(A13&lt;=18,Assumptions!B105,Assumptions!B107)/1000*Assumptions!B115*0.55+IF(A13&gt;=Assumptions!B114,IF(A13&lt;=18,Assumptions!B105,Assumptions!B107)*Assumptions!B109/1000*Assumptions!B116*0.55,0)),0)</f>
        <v>0</v>
      </c>
      <c r="M13" s="17" t="n">
        <f aca="false">I13+J13+K13+L13</f>
        <v>390</v>
      </c>
      <c r="N13" s="17" t="n">
        <f aca="false">ROUND(H13*Assumptions!B62*Assumptions!B61,0)+Assumptions!B63+IF(H13&gt;Assumptions!B64,45,0)+Assumptions!B65+Assumptions!B66+Assumptions!B67+Assumptions!B68+Assumptions!B69/12+IF(A13&gt;=3,Assumptions!B72,0)+ROUND(I13*Assumptions!B70+H13*Assumptions!B71,0)+0</f>
        <v>188</v>
      </c>
      <c r="O13" s="17" t="n">
        <f aca="false">M13-N13</f>
        <v>202</v>
      </c>
      <c r="P13" s="17" t="n">
        <f aca="false">IF((Q12+O13)&lt;N13*Assumptions!B89,0,IF((Q12+O13)&lt;N13*6,ROUND(MAX(O13,0)*Assumptions!B90,0),ROUND(MAX(O13,0)*Assumptions!B91,0)))</f>
        <v>0</v>
      </c>
      <c r="Q13" s="17" t="n">
        <f aca="false">Q12+O13-P13</f>
        <v>-3328</v>
      </c>
    </row>
    <row r="14" customFormat="false" ht="15" hidden="false" customHeight="true" outlineLevel="0" collapsed="false">
      <c r="A14" s="5" t="n">
        <v>11</v>
      </c>
      <c r="B14" s="13" t="n">
        <f aca="false">ROUND(B13*(1+Assumptions!B34),0)</f>
        <v>806</v>
      </c>
      <c r="C14" s="13" t="n">
        <f aca="false">ROUND(IF(A14&lt;Assumptions!B100,0,IF(A14&lt;=8,Assumptions!B103,IF(A14&lt;=12,Assumptions!B104,IF(A14&lt;=18,Assumptions!B105,IF(A14&lt;=24,Assumptions!B106,Assumptions!B107))))*(1+IF(A14&gt;=Assumptions!B101,Assumptions!B109,0))*Assumptions!B111),0)</f>
        <v>60</v>
      </c>
      <c r="D14" s="13" t="n">
        <f aca="false">ROUND(ROUND(Assumptions!B119*(1+Assumptions!B120)^6*(1+Assumptions!B121)^(A14-6),0)*Assumptions!B123,0)</f>
        <v>5</v>
      </c>
      <c r="E14" s="13" t="n">
        <f aca="false">B14+C14+D14</f>
        <v>871</v>
      </c>
      <c r="F14" s="13" t="n">
        <f aca="false">ROUND(E14*Assumptions!B22,0)</f>
        <v>1</v>
      </c>
      <c r="G14" s="13" t="n">
        <f aca="false">ROUND(H13*Assumptions!B50,0)</f>
        <v>1</v>
      </c>
      <c r="H14" s="13" t="n">
        <f aca="false">H13+F14-G14</f>
        <v>7</v>
      </c>
      <c r="I14" s="14" t="n">
        <f aca="false">ROUND(H14*(Assumptions!B15*0.85+Assumptions!B11*0.15),0)</f>
        <v>80</v>
      </c>
      <c r="J14" s="14" t="n">
        <f aca="false">ROUND(E14*Assumptions!B95*Assumptions!B96*Assumptions!B97*Assumptions!B94,0)</f>
        <v>34</v>
      </c>
      <c r="K14" s="14" t="n">
        <f aca="false">ROUND(E14*Assumptions!B57*Assumptions!B58,0)</f>
        <v>305</v>
      </c>
      <c r="L14" s="14" t="n">
        <f aca="false">ROUND(IF(A14&lt;Assumptions!B113,0,IF(A14&lt;=18,Assumptions!B105,Assumptions!B107)/1000*Assumptions!B115*0.55+IF(A14&gt;=Assumptions!B114,IF(A14&lt;=18,Assumptions!B105,Assumptions!B107)*Assumptions!B109/1000*Assumptions!B116*0.55,0)),0)</f>
        <v>0</v>
      </c>
      <c r="M14" s="14" t="n">
        <f aca="false">I14+J14+K14+L14</f>
        <v>419</v>
      </c>
      <c r="N14" s="14" t="n">
        <f aca="false">ROUND(H14*Assumptions!B62*Assumptions!B61,0)+Assumptions!B63+IF(H14&gt;Assumptions!B64,45,0)+Assumptions!B65+Assumptions!B66+Assumptions!B67+Assumptions!B68+Assumptions!B69/12+IF(A14&gt;=3,Assumptions!B72,0)+ROUND(I14*Assumptions!B70+H14*Assumptions!B71,0)+0</f>
        <v>188</v>
      </c>
      <c r="O14" s="14" t="n">
        <f aca="false">M14-N14</f>
        <v>231</v>
      </c>
      <c r="P14" s="14" t="n">
        <f aca="false">IF((Q13+O14)&lt;N14*Assumptions!B89,0,IF((Q13+O14)&lt;N14*6,ROUND(MAX(O14,0)*Assumptions!B90,0),ROUND(MAX(O14,0)*Assumptions!B91,0)))</f>
        <v>0</v>
      </c>
      <c r="Q14" s="14" t="n">
        <f aca="false">Q13+O14-P14</f>
        <v>-3097</v>
      </c>
    </row>
    <row r="15" customFormat="false" ht="15" hidden="false" customHeight="true" outlineLevel="0" collapsed="false">
      <c r="A15" s="15" t="n">
        <v>12</v>
      </c>
      <c r="B15" s="16" t="n">
        <f aca="false">ROUND(B14*(1+Assumptions!B34),0)</f>
        <v>887</v>
      </c>
      <c r="C15" s="16" t="n">
        <f aca="false">ROUND(IF(A15&lt;Assumptions!B100,0,IF(A15&lt;=8,Assumptions!B103,IF(A15&lt;=12,Assumptions!B104,IF(A15&lt;=18,Assumptions!B105,IF(A15&lt;=24,Assumptions!B106,Assumptions!B107))))*(1+IF(A15&gt;=Assumptions!B101,Assumptions!B109,0))*Assumptions!B111),0)</f>
        <v>60</v>
      </c>
      <c r="D15" s="16" t="n">
        <f aca="false">ROUND(ROUND(Assumptions!B119*(1+Assumptions!B120)^6*(1+Assumptions!B121)^(A15-6),0)*Assumptions!B123,0)</f>
        <v>5</v>
      </c>
      <c r="E15" s="16" t="n">
        <f aca="false">B15+C15+D15</f>
        <v>952</v>
      </c>
      <c r="F15" s="16" t="n">
        <f aca="false">ROUND(E15*Assumptions!B22,0)</f>
        <v>1</v>
      </c>
      <c r="G15" s="16" t="n">
        <f aca="false">ROUND(H14*Assumptions!B50,0)</f>
        <v>1</v>
      </c>
      <c r="H15" s="16" t="n">
        <f aca="false">H14+F15-G15</f>
        <v>7</v>
      </c>
      <c r="I15" s="17" t="n">
        <f aca="false">ROUND(H15*(Assumptions!B15*0.85+Assumptions!B11*0.15),0)</f>
        <v>80</v>
      </c>
      <c r="J15" s="17" t="n">
        <f aca="false">ROUND(E15*Assumptions!B95*Assumptions!B96*Assumptions!B97*Assumptions!B94,0)</f>
        <v>37</v>
      </c>
      <c r="K15" s="17" t="n">
        <f aca="false">ROUND(E15*Assumptions!B57*Assumptions!B58,0)</f>
        <v>333</v>
      </c>
      <c r="L15" s="17" t="n">
        <f aca="false">ROUND(IF(A15&lt;Assumptions!B113,0,IF(A15&lt;=18,Assumptions!B105,Assumptions!B107)/1000*Assumptions!B115*0.55+IF(A15&gt;=Assumptions!B114,IF(A15&lt;=18,Assumptions!B105,Assumptions!B107)*Assumptions!B109/1000*Assumptions!B116*0.55,0)),0)</f>
        <v>22</v>
      </c>
      <c r="M15" s="17" t="n">
        <f aca="false">I15+J15+K15+L15</f>
        <v>472</v>
      </c>
      <c r="N15" s="17" t="n">
        <f aca="false">ROUND(H15*Assumptions!B62*Assumptions!B61,0)+Assumptions!B63+IF(H15&gt;Assumptions!B64,45,0)+Assumptions!B65+Assumptions!B66+Assumptions!B67+Assumptions!B68+Assumptions!B69/12+IF(A15&gt;=3,Assumptions!B72,0)+ROUND(I15*Assumptions!B70+H15*Assumptions!B71,0)+0</f>
        <v>188</v>
      </c>
      <c r="O15" s="17" t="n">
        <f aca="false">M15-N15</f>
        <v>284</v>
      </c>
      <c r="P15" s="17" t="n">
        <f aca="false">IF((Q14+O15)&lt;N15*Assumptions!B89,0,IF((Q14+O15)&lt;N15*6,ROUND(MAX(O15,0)*Assumptions!B90,0),ROUND(MAX(O15,0)*Assumptions!B91,0)))</f>
        <v>0</v>
      </c>
      <c r="Q15" s="17" t="n">
        <f aca="false">Q14+O15-P15</f>
        <v>-2813</v>
      </c>
    </row>
    <row r="16" customFormat="false" ht="15" hidden="false" customHeight="true" outlineLevel="0" collapsed="false">
      <c r="A16" s="5" t="n">
        <v>13</v>
      </c>
      <c r="B16" s="13" t="n">
        <f aca="false">ROUND(B15*(1+Assumptions!B38),0)</f>
        <v>940</v>
      </c>
      <c r="C16" s="13" t="n">
        <f aca="false">ROUND(IF(A16&lt;Assumptions!B100,0,IF(A16&lt;=8,Assumptions!B103,IF(A16&lt;=12,Assumptions!B104,IF(A16&lt;=18,Assumptions!B105,IF(A16&lt;=24,Assumptions!B106,Assumptions!B107))))*(1+IF(A16&gt;=Assumptions!B101,Assumptions!B109,0))*Assumptions!B111),0)</f>
        <v>150</v>
      </c>
      <c r="D16" s="13" t="n">
        <f aca="false">ROUND(ROUND(Assumptions!B119*(1+Assumptions!B120)^6*(1+Assumptions!B121)^6*(1+Assumptions!B122)^(A16-12),0)*Assumptions!B123,0)</f>
        <v>6</v>
      </c>
      <c r="E16" s="13" t="n">
        <f aca="false">B16+C16+D16</f>
        <v>1096</v>
      </c>
      <c r="F16" s="13" t="n">
        <f aca="false">ROUND(E16*Assumptions!B22,0)</f>
        <v>2</v>
      </c>
      <c r="G16" s="13" t="n">
        <f aca="false">ROUND(H15*Assumptions!B50,0)</f>
        <v>1</v>
      </c>
      <c r="H16" s="13" t="n">
        <f aca="false">H15+F16-G16</f>
        <v>8</v>
      </c>
      <c r="I16" s="14" t="n">
        <f aca="false">ROUND(H16*(Assumptions!B15*0.85+Assumptions!B11*0.15),0)</f>
        <v>92</v>
      </c>
      <c r="J16" s="14" t="n">
        <f aca="false">ROUND(E16*Assumptions!B95*Assumptions!B96*Assumptions!B97*Assumptions!B94,0)</f>
        <v>43</v>
      </c>
      <c r="K16" s="14" t="n">
        <f aca="false">ROUND(E16*Assumptions!B57*Assumptions!B58,0)</f>
        <v>384</v>
      </c>
      <c r="L16" s="14" t="n">
        <f aca="false">ROUND(IF(A16&lt;Assumptions!B113,0,IF(A16&lt;=18,Assumptions!B105,Assumptions!B107)/1000*Assumptions!B115*0.55+IF(A16&gt;=Assumptions!B114,IF(A16&lt;=18,Assumptions!B105,Assumptions!B107)*Assumptions!B109/1000*Assumptions!B116*0.55,0)),0)</f>
        <v>22</v>
      </c>
      <c r="M16" s="14" t="n">
        <f aca="false">I16+J16+K16+L16</f>
        <v>541</v>
      </c>
      <c r="N16" s="14" t="n">
        <f aca="false">ROUND(H16*Assumptions!B62*Assumptions!B61,0)+Assumptions!B63+IF(H16&gt;Assumptions!B64,45,0)+Assumptions!B65+Assumptions!B66+Assumptions!B67+Assumptions!B68+Assumptions!B69/12+IF(A16&gt;=3,Assumptions!B72,0)+ROUND(I16*Assumptions!B70+H16*Assumptions!B71,0)+0</f>
        <v>189</v>
      </c>
      <c r="O16" s="14" t="n">
        <f aca="false">M16-N16</f>
        <v>352</v>
      </c>
      <c r="P16" s="14" t="n">
        <f aca="false">IF((Q15+O16)&lt;N16*Assumptions!B89,0,IF((Q15+O16)&lt;N16*6,ROUND(MAX(O16,0)*Assumptions!B90,0),ROUND(MAX(O16,0)*Assumptions!B91,0)))</f>
        <v>0</v>
      </c>
      <c r="Q16" s="14" t="n">
        <f aca="false">Q15+O16-P16</f>
        <v>-2461</v>
      </c>
    </row>
    <row r="17" customFormat="false" ht="15" hidden="false" customHeight="true" outlineLevel="0" collapsed="false">
      <c r="A17" s="15" t="n">
        <v>14</v>
      </c>
      <c r="B17" s="16" t="n">
        <f aca="false">ROUND(B16*(1+Assumptions!B38),0)</f>
        <v>996</v>
      </c>
      <c r="C17" s="16" t="n">
        <f aca="false">ROUND(IF(A17&lt;Assumptions!B100,0,IF(A17&lt;=8,Assumptions!B103,IF(A17&lt;=12,Assumptions!B104,IF(A17&lt;=18,Assumptions!B105,IF(A17&lt;=24,Assumptions!B106,Assumptions!B107))))*(1+IF(A17&gt;=Assumptions!B101,Assumptions!B109,0))*Assumptions!B111),0)</f>
        <v>150</v>
      </c>
      <c r="D17" s="16" t="n">
        <f aca="false">ROUND(ROUND(Assumptions!B119*(1+Assumptions!B120)^6*(1+Assumptions!B121)^6*(1+Assumptions!B122)^(A17-12),0)*Assumptions!B123,0)</f>
        <v>6</v>
      </c>
      <c r="E17" s="16" t="n">
        <f aca="false">B17+C17+D17</f>
        <v>1152</v>
      </c>
      <c r="F17" s="16" t="n">
        <f aca="false">ROUND(E17*Assumptions!B22,0)</f>
        <v>2</v>
      </c>
      <c r="G17" s="16" t="n">
        <f aca="false">ROUND(H16*Assumptions!B50,0)</f>
        <v>1</v>
      </c>
      <c r="H17" s="16" t="n">
        <f aca="false">H16+F17-G17</f>
        <v>9</v>
      </c>
      <c r="I17" s="17" t="n">
        <f aca="false">ROUND(H17*(Assumptions!B15*0.85+Assumptions!B11*0.15),0)</f>
        <v>103</v>
      </c>
      <c r="J17" s="17" t="n">
        <f aca="false">ROUND(E17*Assumptions!B95*Assumptions!B96*Assumptions!B97*Assumptions!B94,0)</f>
        <v>45</v>
      </c>
      <c r="K17" s="17" t="n">
        <f aca="false">ROUND(E17*Assumptions!B57*Assumptions!B58,0)</f>
        <v>403</v>
      </c>
      <c r="L17" s="17" t="n">
        <f aca="false">ROUND(IF(A17&lt;Assumptions!B113,0,IF(A17&lt;=18,Assumptions!B105,Assumptions!B107)/1000*Assumptions!B115*0.55+IF(A17&gt;=Assumptions!B114,IF(A17&lt;=18,Assumptions!B105,Assumptions!B107)*Assumptions!B109/1000*Assumptions!B116*0.55,0)),0)</f>
        <v>22</v>
      </c>
      <c r="M17" s="17" t="n">
        <f aca="false">I17+J17+K17+L17</f>
        <v>573</v>
      </c>
      <c r="N17" s="17" t="n">
        <f aca="false">ROUND(H17*Assumptions!B62*Assumptions!B61,0)+Assumptions!B63+IF(H17&gt;Assumptions!B64,45,0)+Assumptions!B65+Assumptions!B66+Assumptions!B67+Assumptions!B68+Assumptions!B69/12+IF(A17&gt;=3,Assumptions!B72,0)+ROUND(I17*Assumptions!B70+H17*Assumptions!B71,0)+0</f>
        <v>191</v>
      </c>
      <c r="O17" s="17" t="n">
        <f aca="false">M17-N17</f>
        <v>382</v>
      </c>
      <c r="P17" s="17" t="n">
        <f aca="false">IF((Q16+O17)&lt;N17*Assumptions!B89,0,IF((Q16+O17)&lt;N17*6,ROUND(MAX(O17,0)*Assumptions!B90,0),ROUND(MAX(O17,0)*Assumptions!B91,0)))</f>
        <v>0</v>
      </c>
      <c r="Q17" s="17" t="n">
        <f aca="false">Q16+O17-P17</f>
        <v>-2079</v>
      </c>
    </row>
    <row r="18" customFormat="false" ht="15" hidden="false" customHeight="true" outlineLevel="0" collapsed="false">
      <c r="A18" s="5" t="n">
        <v>15</v>
      </c>
      <c r="B18" s="13" t="n">
        <f aca="false">ROUND(B17*(1+Assumptions!B38),0)</f>
        <v>1056</v>
      </c>
      <c r="C18" s="13" t="n">
        <f aca="false">ROUND(IF(A18&lt;Assumptions!B100,0,IF(A18&lt;=8,Assumptions!B103,IF(A18&lt;=12,Assumptions!B104,IF(A18&lt;=18,Assumptions!B105,IF(A18&lt;=24,Assumptions!B106,Assumptions!B107))))*(1+IF(A18&gt;=Assumptions!B101,Assumptions!B109,0))*Assumptions!B111),0)</f>
        <v>150</v>
      </c>
      <c r="D18" s="13" t="n">
        <f aca="false">ROUND(ROUND(Assumptions!B119*(1+Assumptions!B120)^6*(1+Assumptions!B121)^6*(1+Assumptions!B122)^(A18-12),0)*Assumptions!B123,0)</f>
        <v>7</v>
      </c>
      <c r="E18" s="13" t="n">
        <f aca="false">B18+C18+D18</f>
        <v>1213</v>
      </c>
      <c r="F18" s="13" t="n">
        <f aca="false">ROUND(E18*Assumptions!B22,0)</f>
        <v>2</v>
      </c>
      <c r="G18" s="13" t="n">
        <f aca="false">ROUND(H17*Assumptions!B50,0)</f>
        <v>1</v>
      </c>
      <c r="H18" s="13" t="n">
        <f aca="false">H17+F18-G18</f>
        <v>10</v>
      </c>
      <c r="I18" s="14" t="n">
        <f aca="false">ROUND(H18*(Assumptions!B15*0.85+Assumptions!B11*0.15),0)</f>
        <v>115</v>
      </c>
      <c r="J18" s="14" t="n">
        <f aca="false">ROUND(E18*Assumptions!B95*Assumptions!B96*Assumptions!B97*Assumptions!B94,0)</f>
        <v>47</v>
      </c>
      <c r="K18" s="14" t="n">
        <f aca="false">ROUND(E18*Assumptions!B57*Assumptions!B58,0)</f>
        <v>425</v>
      </c>
      <c r="L18" s="14" t="n">
        <f aca="false">ROUND(IF(A18&lt;Assumptions!B113,0,IF(A18&lt;=18,Assumptions!B105,Assumptions!B107)/1000*Assumptions!B115*0.55+IF(A18&gt;=Assumptions!B114,IF(A18&lt;=18,Assumptions!B105,Assumptions!B107)*Assumptions!B109/1000*Assumptions!B116*0.55,0)),0)</f>
        <v>22</v>
      </c>
      <c r="M18" s="14" t="n">
        <f aca="false">I18+J18+K18+L18</f>
        <v>609</v>
      </c>
      <c r="N18" s="14" t="n">
        <f aca="false">ROUND(H18*Assumptions!B62*Assumptions!B61,0)+Assumptions!B63+IF(H18&gt;Assumptions!B64,45,0)+Assumptions!B65+Assumptions!B66+Assumptions!B67+Assumptions!B68+Assumptions!B69/12+IF(A18&gt;=3,Assumptions!B72,0)+ROUND(I18*Assumptions!B70+H18*Assumptions!B71,0)+0</f>
        <v>191</v>
      </c>
      <c r="O18" s="14" t="n">
        <f aca="false">M18-N18</f>
        <v>418</v>
      </c>
      <c r="P18" s="14" t="n">
        <f aca="false">IF((Q17+O18)&lt;N18*Assumptions!B89,0,IF((Q17+O18)&lt;N18*6,ROUND(MAX(O18,0)*Assumptions!B90,0),ROUND(MAX(O18,0)*Assumptions!B91,0)))</f>
        <v>0</v>
      </c>
      <c r="Q18" s="14" t="n">
        <f aca="false">Q17+O18-P18</f>
        <v>-1661</v>
      </c>
    </row>
    <row r="19" customFormat="false" ht="15" hidden="false" customHeight="true" outlineLevel="0" collapsed="false">
      <c r="A19" s="15" t="n">
        <v>16</v>
      </c>
      <c r="B19" s="16" t="n">
        <f aca="false">ROUND(B18*(1+Assumptions!B38),0)</f>
        <v>1119</v>
      </c>
      <c r="C19" s="16" t="n">
        <f aca="false">ROUND(IF(A19&lt;Assumptions!B100,0,IF(A19&lt;=8,Assumptions!B103,IF(A19&lt;=12,Assumptions!B104,IF(A19&lt;=18,Assumptions!B105,IF(A19&lt;=24,Assumptions!B106,Assumptions!B107))))*(1+IF(A19&gt;=Assumptions!B101,Assumptions!B109,0))*Assumptions!B111),0)</f>
        <v>150</v>
      </c>
      <c r="D19" s="16" t="n">
        <f aca="false">ROUND(ROUND(Assumptions!B119*(1+Assumptions!B120)^6*(1+Assumptions!B121)^6*(1+Assumptions!B122)^(A19-12),0)*Assumptions!B123,0)</f>
        <v>8</v>
      </c>
      <c r="E19" s="16" t="n">
        <f aca="false">B19+C19+D19</f>
        <v>1277</v>
      </c>
      <c r="F19" s="16" t="n">
        <f aca="false">ROUND(E19*Assumptions!B22,0)</f>
        <v>2</v>
      </c>
      <c r="G19" s="16" t="n">
        <f aca="false">ROUND(H18*Assumptions!B50,0)</f>
        <v>1</v>
      </c>
      <c r="H19" s="16" t="n">
        <f aca="false">H18+F19-G19</f>
        <v>11</v>
      </c>
      <c r="I19" s="17" t="n">
        <f aca="false">ROUND(H19*(Assumptions!B15*0.85+Assumptions!B11*0.15),0)</f>
        <v>126</v>
      </c>
      <c r="J19" s="17" t="n">
        <f aca="false">ROUND(E19*Assumptions!B95*Assumptions!B96*Assumptions!B97*Assumptions!B94,0)</f>
        <v>50</v>
      </c>
      <c r="K19" s="17" t="n">
        <f aca="false">ROUND(E19*Assumptions!B57*Assumptions!B58,0)</f>
        <v>447</v>
      </c>
      <c r="L19" s="17" t="n">
        <f aca="false">ROUND(IF(A19&lt;Assumptions!B113,0,IF(A19&lt;=18,Assumptions!B105,Assumptions!B107)/1000*Assumptions!B115*0.55+IF(A19&gt;=Assumptions!B114,IF(A19&lt;=18,Assumptions!B105,Assumptions!B107)*Assumptions!B109/1000*Assumptions!B116*0.55,0)),0)</f>
        <v>26</v>
      </c>
      <c r="M19" s="17" t="n">
        <f aca="false">I19+J19+K19+L19</f>
        <v>649</v>
      </c>
      <c r="N19" s="17" t="n">
        <f aca="false">ROUND(H19*Assumptions!B62*Assumptions!B61,0)+Assumptions!B63+IF(H19&gt;Assumptions!B64,45,0)+Assumptions!B65+Assumptions!B66+Assumptions!B67+Assumptions!B68+Assumptions!B69/12+IF(A19&gt;=3,Assumptions!B72,0)+ROUND(I19*Assumptions!B70+H19*Assumptions!B71,0)+0</f>
        <v>192</v>
      </c>
      <c r="O19" s="17" t="n">
        <f aca="false">M19-N19</f>
        <v>457</v>
      </c>
      <c r="P19" s="17" t="n">
        <f aca="false">IF((Q18+O19)&lt;N19*Assumptions!B89,0,IF((Q18+O19)&lt;N19*6,ROUND(MAX(O19,0)*Assumptions!B90,0),ROUND(MAX(O19,0)*Assumptions!B91,0)))</f>
        <v>0</v>
      </c>
      <c r="Q19" s="17" t="n">
        <f aca="false">Q18+O19-P19</f>
        <v>-1204</v>
      </c>
    </row>
    <row r="20" customFormat="false" ht="15" hidden="false" customHeight="true" outlineLevel="0" collapsed="false">
      <c r="A20" s="5" t="n">
        <v>17</v>
      </c>
      <c r="B20" s="13" t="n">
        <f aca="false">ROUND(B19*(1+Assumptions!B38),0)</f>
        <v>1186</v>
      </c>
      <c r="C20" s="13" t="n">
        <f aca="false">ROUND(IF(A20&lt;Assumptions!B100,0,IF(A20&lt;=8,Assumptions!B103,IF(A20&lt;=12,Assumptions!B104,IF(A20&lt;=18,Assumptions!B105,IF(A20&lt;=24,Assumptions!B106,Assumptions!B107))))*(1+IF(A20&gt;=Assumptions!B101,Assumptions!B109,0))*Assumptions!B111),0)</f>
        <v>150</v>
      </c>
      <c r="D20" s="13" t="n">
        <f aca="false">ROUND(ROUND(Assumptions!B119*(1+Assumptions!B120)^6*(1+Assumptions!B121)^6*(1+Assumptions!B122)^(A20-12),0)*Assumptions!B123,0)</f>
        <v>8</v>
      </c>
      <c r="E20" s="13" t="n">
        <f aca="false">B20+C20+D20</f>
        <v>1344</v>
      </c>
      <c r="F20" s="13" t="n">
        <f aca="false">ROUND(E20*Assumptions!B22,0)</f>
        <v>2</v>
      </c>
      <c r="G20" s="13" t="n">
        <f aca="false">ROUND(H19*Assumptions!B50,0)</f>
        <v>1</v>
      </c>
      <c r="H20" s="13" t="n">
        <f aca="false">H19+F20-G20</f>
        <v>12</v>
      </c>
      <c r="I20" s="14" t="n">
        <f aca="false">ROUND(H20*(Assumptions!B15*0.85+Assumptions!B11*0.15),0)</f>
        <v>138</v>
      </c>
      <c r="J20" s="14" t="n">
        <f aca="false">ROUND(E20*Assumptions!B95*Assumptions!B96*Assumptions!B97*Assumptions!B94,0)</f>
        <v>52</v>
      </c>
      <c r="K20" s="14" t="n">
        <f aca="false">ROUND(E20*Assumptions!B57*Assumptions!B58,0)</f>
        <v>470</v>
      </c>
      <c r="L20" s="14" t="n">
        <f aca="false">ROUND(IF(A20&lt;Assumptions!B113,0,IF(A20&lt;=18,Assumptions!B105,Assumptions!B107)/1000*Assumptions!B115*0.55+IF(A20&gt;=Assumptions!B114,IF(A20&lt;=18,Assumptions!B105,Assumptions!B107)*Assumptions!B109/1000*Assumptions!B116*0.55,0)),0)</f>
        <v>26</v>
      </c>
      <c r="M20" s="14" t="n">
        <f aca="false">I20+J20+K20+L20</f>
        <v>686</v>
      </c>
      <c r="N20" s="14" t="n">
        <f aca="false">ROUND(H20*Assumptions!B62*Assumptions!B61,0)+Assumptions!B63+IF(H20&gt;Assumptions!B64,45,0)+Assumptions!B65+Assumptions!B66+Assumptions!B67+Assumptions!B68+Assumptions!B69/12+IF(A20&gt;=3,Assumptions!B72,0)+ROUND(I20*Assumptions!B70+H20*Assumptions!B71,0)+0</f>
        <v>193</v>
      </c>
      <c r="O20" s="14" t="n">
        <f aca="false">M20-N20</f>
        <v>493</v>
      </c>
      <c r="P20" s="14" t="n">
        <f aca="false">IF((Q19+O20)&lt;N20*Assumptions!B89,0,IF((Q19+O20)&lt;N20*6,ROUND(MAX(O20,0)*Assumptions!B90,0),ROUND(MAX(O20,0)*Assumptions!B91,0)))</f>
        <v>0</v>
      </c>
      <c r="Q20" s="14" t="n">
        <f aca="false">Q19+O20-P20</f>
        <v>-711</v>
      </c>
    </row>
    <row r="21" customFormat="false" ht="15" hidden="false" customHeight="true" outlineLevel="0" collapsed="false">
      <c r="A21" s="15" t="n">
        <v>18</v>
      </c>
      <c r="B21" s="16" t="n">
        <f aca="false">ROUND(B20*(1+Assumptions!B38),0)</f>
        <v>1257</v>
      </c>
      <c r="C21" s="16" t="n">
        <f aca="false">ROUND(IF(A21&lt;Assumptions!B100,0,IF(A21&lt;=8,Assumptions!B103,IF(A21&lt;=12,Assumptions!B104,IF(A21&lt;=18,Assumptions!B105,IF(A21&lt;=24,Assumptions!B106,Assumptions!B107))))*(1+IF(A21&gt;=Assumptions!B101,Assumptions!B109,0))*Assumptions!B111),0)</f>
        <v>150</v>
      </c>
      <c r="D21" s="16" t="n">
        <f aca="false">ROUND(ROUND(Assumptions!B119*(1+Assumptions!B120)^6*(1+Assumptions!B121)^6*(1+Assumptions!B122)^(A21-12),0)*Assumptions!B123,0)</f>
        <v>9</v>
      </c>
      <c r="E21" s="16" t="n">
        <f aca="false">B21+C21+D21</f>
        <v>1416</v>
      </c>
      <c r="F21" s="16" t="n">
        <f aca="false">ROUND(E21*Assumptions!B22,0)</f>
        <v>2</v>
      </c>
      <c r="G21" s="16" t="n">
        <f aca="false">ROUND(H20*Assumptions!B50,0)</f>
        <v>1</v>
      </c>
      <c r="H21" s="16" t="n">
        <f aca="false">H20+F21-G21</f>
        <v>13</v>
      </c>
      <c r="I21" s="17" t="n">
        <f aca="false">ROUND(H21*(Assumptions!B15*0.85+Assumptions!B11*0.15),0)</f>
        <v>149</v>
      </c>
      <c r="J21" s="17" t="n">
        <f aca="false">ROUND(E21*Assumptions!B95*Assumptions!B96*Assumptions!B97*Assumptions!B94,0)</f>
        <v>55</v>
      </c>
      <c r="K21" s="17" t="n">
        <f aca="false">ROUND(E21*Assumptions!B57*Assumptions!B58,0)</f>
        <v>496</v>
      </c>
      <c r="L21" s="17" t="n">
        <f aca="false">ROUND(IF(A21&lt;Assumptions!B113,0,IF(A21&lt;=18,Assumptions!B105,Assumptions!B107)/1000*Assumptions!B115*0.55+IF(A21&gt;=Assumptions!B114,IF(A21&lt;=18,Assumptions!B105,Assumptions!B107)*Assumptions!B109/1000*Assumptions!B116*0.55,0)),0)</f>
        <v>26</v>
      </c>
      <c r="M21" s="17" t="n">
        <f aca="false">I21+J21+K21+L21</f>
        <v>726</v>
      </c>
      <c r="N21" s="17" t="n">
        <f aca="false">ROUND(H21*Assumptions!B62*Assumptions!B61,0)+Assumptions!B63+IF(H21&gt;Assumptions!B64,45,0)+Assumptions!B65+Assumptions!B66+Assumptions!B67+Assumptions!B68+Assumptions!B69/12+IF(A21&gt;=3,Assumptions!B72,0)+ROUND(I21*Assumptions!B70+H21*Assumptions!B71,0)+0</f>
        <v>194</v>
      </c>
      <c r="O21" s="17" t="n">
        <f aca="false">M21-N21</f>
        <v>532</v>
      </c>
      <c r="P21" s="17" t="n">
        <f aca="false">IF((Q20+O21)&lt;N21*Assumptions!B89,0,IF((Q20+O21)&lt;N21*6,ROUND(MAX(O21,0)*Assumptions!B90,0),ROUND(MAX(O21,0)*Assumptions!B91,0)))</f>
        <v>0</v>
      </c>
      <c r="Q21" s="17" t="n">
        <f aca="false">Q20+O21-P21</f>
        <v>-179</v>
      </c>
    </row>
    <row r="22" customFormat="false" ht="15" hidden="false" customHeight="true" outlineLevel="0" collapsed="false">
      <c r="A22" s="5" t="n">
        <v>19</v>
      </c>
      <c r="B22" s="13" t="n">
        <f aca="false">ROUND(B21*(1+Assumptions!B38),0)</f>
        <v>1332</v>
      </c>
      <c r="C22" s="13" t="n">
        <f aca="false">ROUND(IF(A22&lt;Assumptions!B100,0,IF(A22&lt;=8,Assumptions!B103,IF(A22&lt;=12,Assumptions!B104,IF(A22&lt;=18,Assumptions!B105,IF(A22&lt;=24,Assumptions!B106,Assumptions!B107))))*(1+IF(A22&gt;=Assumptions!B101,Assumptions!B109,0))*Assumptions!B111),0)</f>
        <v>300</v>
      </c>
      <c r="D22" s="13" t="n">
        <f aca="false">ROUND(ROUND(Assumptions!B119*(1+Assumptions!B120)^6*(1+Assumptions!B121)^6*(1+Assumptions!B122)^(A22-12),0)*Assumptions!B123,0)</f>
        <v>10</v>
      </c>
      <c r="E22" s="13" t="n">
        <f aca="false">B22+C22+D22</f>
        <v>1642</v>
      </c>
      <c r="F22" s="13" t="n">
        <f aca="false">ROUND(E22*Assumptions!B22,0)</f>
        <v>2</v>
      </c>
      <c r="G22" s="13" t="n">
        <f aca="false">ROUND(H21*Assumptions!B50,0)</f>
        <v>1</v>
      </c>
      <c r="H22" s="13" t="n">
        <f aca="false">H21+F22-G22</f>
        <v>14</v>
      </c>
      <c r="I22" s="14" t="n">
        <f aca="false">ROUND(H22*(Assumptions!B15*0.85+Assumptions!B11*0.15),0)</f>
        <v>161</v>
      </c>
      <c r="J22" s="14" t="n">
        <f aca="false">ROUND(E22*Assumptions!B95*Assumptions!B96*Assumptions!B97*Assumptions!B94,0)</f>
        <v>64</v>
      </c>
      <c r="K22" s="14" t="n">
        <f aca="false">ROUND(E22*Assumptions!B57*Assumptions!B58,0)</f>
        <v>575</v>
      </c>
      <c r="L22" s="14" t="n">
        <f aca="false">ROUND(IF(A22&lt;Assumptions!B113,0,IF(A22&lt;=18,Assumptions!B105,Assumptions!B107)/1000*Assumptions!B115*0.55+IF(A22&gt;=Assumptions!B114,IF(A22&lt;=18,Assumptions!B105,Assumptions!B107)*Assumptions!B109/1000*Assumptions!B116*0.55,0)),0)</f>
        <v>94</v>
      </c>
      <c r="M22" s="14" t="n">
        <f aca="false">I22+J22+K22+L22</f>
        <v>894</v>
      </c>
      <c r="N22" s="14" t="n">
        <f aca="false">ROUND(H22*Assumptions!B62*Assumptions!B61,0)+Assumptions!B63+IF(H22&gt;Assumptions!B64,45,0)+Assumptions!B65+Assumptions!B66+Assumptions!B67+Assumptions!B68+Assumptions!B69/12+IF(A22&gt;=3,Assumptions!B72,0)+ROUND(I22*Assumptions!B70+H22*Assumptions!B71,0)+0</f>
        <v>195</v>
      </c>
      <c r="O22" s="14" t="n">
        <f aca="false">M22-N22</f>
        <v>699</v>
      </c>
      <c r="P22" s="14" t="n">
        <f aca="false">IF((Q21+O22)&lt;N22*Assumptions!B89,0,IF((Q21+O22)&lt;N22*6,ROUND(MAX(O22,0)*Assumptions!B90,0),ROUND(MAX(O22,0)*Assumptions!B91,0)))</f>
        <v>0</v>
      </c>
      <c r="Q22" s="14" t="n">
        <f aca="false">Q21+O22-P22</f>
        <v>520</v>
      </c>
    </row>
    <row r="23" customFormat="false" ht="15" hidden="false" customHeight="true" outlineLevel="0" collapsed="false">
      <c r="A23" s="15" t="n">
        <v>20</v>
      </c>
      <c r="B23" s="16" t="n">
        <f aca="false">ROUND(B22*(1+Assumptions!B38),0)</f>
        <v>1412</v>
      </c>
      <c r="C23" s="16" t="n">
        <f aca="false">ROUND(IF(A23&lt;Assumptions!B100,0,IF(A23&lt;=8,Assumptions!B103,IF(A23&lt;=12,Assumptions!B104,IF(A23&lt;=18,Assumptions!B105,IF(A23&lt;=24,Assumptions!B106,Assumptions!B107))))*(1+IF(A23&gt;=Assumptions!B101,Assumptions!B109,0))*Assumptions!B111),0)</f>
        <v>300</v>
      </c>
      <c r="D23" s="16" t="n">
        <f aca="false">ROUND(ROUND(Assumptions!B119*(1+Assumptions!B120)^6*(1+Assumptions!B121)^6*(1+Assumptions!B122)^(A23-12),0)*Assumptions!B123,0)</f>
        <v>11</v>
      </c>
      <c r="E23" s="16" t="n">
        <f aca="false">B23+C23+D23</f>
        <v>1723</v>
      </c>
      <c r="F23" s="16" t="n">
        <f aca="false">ROUND(E23*Assumptions!B22,0)</f>
        <v>3</v>
      </c>
      <c r="G23" s="16" t="n">
        <f aca="false">ROUND(H22*Assumptions!B50,0)</f>
        <v>1</v>
      </c>
      <c r="H23" s="16" t="n">
        <f aca="false">H22+F23-G23</f>
        <v>16</v>
      </c>
      <c r="I23" s="17" t="n">
        <f aca="false">ROUND(H23*(Assumptions!B15*0.85+Assumptions!B11*0.15),0)</f>
        <v>184</v>
      </c>
      <c r="J23" s="17" t="n">
        <f aca="false">ROUND(E23*Assumptions!B95*Assumptions!B96*Assumptions!B97*Assumptions!B94,0)</f>
        <v>67</v>
      </c>
      <c r="K23" s="17" t="n">
        <f aca="false">ROUND(E23*Assumptions!B57*Assumptions!B58,0)</f>
        <v>603</v>
      </c>
      <c r="L23" s="17" t="n">
        <f aca="false">ROUND(IF(A23&lt;Assumptions!B113,0,IF(A23&lt;=18,Assumptions!B105,Assumptions!B107)/1000*Assumptions!B115*0.55+IF(A23&gt;=Assumptions!B114,IF(A23&lt;=18,Assumptions!B105,Assumptions!B107)*Assumptions!B109/1000*Assumptions!B116*0.55,0)),0)</f>
        <v>94</v>
      </c>
      <c r="M23" s="17" t="n">
        <f aca="false">I23+J23+K23+L23</f>
        <v>948</v>
      </c>
      <c r="N23" s="17" t="n">
        <f aca="false">ROUND(H23*Assumptions!B62*Assumptions!B61,0)+Assumptions!B63+IF(H23&gt;Assumptions!B64,45,0)+Assumptions!B65+Assumptions!B66+Assumptions!B67+Assumptions!B68+Assumptions!B69/12+IF(A23&gt;=3,Assumptions!B72,0)+ROUND(I23*Assumptions!B70+H23*Assumptions!B71,0)+0</f>
        <v>196</v>
      </c>
      <c r="O23" s="17" t="n">
        <f aca="false">M23-N23</f>
        <v>752</v>
      </c>
      <c r="P23" s="17" t="n">
        <f aca="false">IF((Q22+O23)&lt;N23*Assumptions!B89,0,IF((Q22+O23)&lt;N23*6,ROUND(MAX(O23,0)*Assumptions!B90,0),ROUND(MAX(O23,0)*Assumptions!B91,0)))</f>
        <v>376</v>
      </c>
      <c r="Q23" s="17" t="n">
        <f aca="false">Q22+O23-P23</f>
        <v>896</v>
      </c>
    </row>
    <row r="24" customFormat="false" ht="15" hidden="false" customHeight="true" outlineLevel="0" collapsed="false">
      <c r="A24" s="5" t="n">
        <v>21</v>
      </c>
      <c r="B24" s="13" t="n">
        <f aca="false">ROUND(B23*(1+Assumptions!B38),0)</f>
        <v>1497</v>
      </c>
      <c r="C24" s="13" t="n">
        <f aca="false">ROUND(IF(A24&lt;Assumptions!B100,0,IF(A24&lt;=8,Assumptions!B103,IF(A24&lt;=12,Assumptions!B104,IF(A24&lt;=18,Assumptions!B105,IF(A24&lt;=24,Assumptions!B106,Assumptions!B107))))*(1+IF(A24&gt;=Assumptions!B101,Assumptions!B109,0))*Assumptions!B111),0)</f>
        <v>300</v>
      </c>
      <c r="D24" s="13" t="n">
        <f aca="false">ROUND(ROUND(Assumptions!B119*(1+Assumptions!B120)^6*(1+Assumptions!B121)^6*(1+Assumptions!B122)^(A24-12),0)*Assumptions!B123,0)</f>
        <v>12</v>
      </c>
      <c r="E24" s="13" t="n">
        <f aca="false">B24+C24+D24</f>
        <v>1809</v>
      </c>
      <c r="F24" s="13" t="n">
        <f aca="false">ROUND(E24*Assumptions!B22,0)</f>
        <v>3</v>
      </c>
      <c r="G24" s="13" t="n">
        <f aca="false">ROUND(H23*Assumptions!B50,0)</f>
        <v>1</v>
      </c>
      <c r="H24" s="13" t="n">
        <f aca="false">H23+F24-G24</f>
        <v>18</v>
      </c>
      <c r="I24" s="14" t="n">
        <f aca="false">ROUND(H24*(Assumptions!B15*0.85+Assumptions!B11*0.15),0)</f>
        <v>207</v>
      </c>
      <c r="J24" s="14" t="n">
        <f aca="false">ROUND(E24*Assumptions!B95*Assumptions!B96*Assumptions!B97*Assumptions!B94,0)</f>
        <v>71</v>
      </c>
      <c r="K24" s="14" t="n">
        <f aca="false">ROUND(E24*Assumptions!B57*Assumptions!B58,0)</f>
        <v>633</v>
      </c>
      <c r="L24" s="14" t="n">
        <f aca="false">ROUND(IF(A24&lt;Assumptions!B113,0,IF(A24&lt;=18,Assumptions!B105,Assumptions!B107)/1000*Assumptions!B115*0.55+IF(A24&gt;=Assumptions!B114,IF(A24&lt;=18,Assumptions!B105,Assumptions!B107)*Assumptions!B109/1000*Assumptions!B116*0.55,0)),0)</f>
        <v>94</v>
      </c>
      <c r="M24" s="14" t="n">
        <f aca="false">I24+J24+K24+L24</f>
        <v>1005</v>
      </c>
      <c r="N24" s="14" t="n">
        <f aca="false">ROUND(H24*Assumptions!B62*Assumptions!B61,0)+Assumptions!B63+IF(H24&gt;Assumptions!B64,45,0)+Assumptions!B65+Assumptions!B66+Assumptions!B67+Assumptions!B68+Assumptions!B69/12+IF(A24&gt;=3,Assumptions!B72,0)+ROUND(I24*Assumptions!B70+H24*Assumptions!B71,0)+0</f>
        <v>198</v>
      </c>
      <c r="O24" s="14" t="n">
        <f aca="false">M24-N24</f>
        <v>807</v>
      </c>
      <c r="P24" s="14" t="n">
        <f aca="false">IF((Q23+O24)&lt;N24*Assumptions!B89,0,IF((Q23+O24)&lt;N24*6,ROUND(MAX(O24,0)*Assumptions!B90,0),ROUND(MAX(O24,0)*Assumptions!B91,0)))</f>
        <v>404</v>
      </c>
      <c r="Q24" s="14" t="n">
        <f aca="false">Q23+O24-P24</f>
        <v>1299</v>
      </c>
    </row>
    <row r="25" customFormat="false" ht="15" hidden="false" customHeight="true" outlineLevel="0" collapsed="false">
      <c r="A25" s="15" t="n">
        <v>22</v>
      </c>
      <c r="B25" s="16" t="n">
        <f aca="false">ROUND(B24*(1+Assumptions!B38),0)</f>
        <v>1587</v>
      </c>
      <c r="C25" s="16" t="n">
        <f aca="false">ROUND(IF(A25&lt;Assumptions!B100,0,IF(A25&lt;=8,Assumptions!B103,IF(A25&lt;=12,Assumptions!B104,IF(A25&lt;=18,Assumptions!B105,IF(A25&lt;=24,Assumptions!B106,Assumptions!B107))))*(1+IF(A25&gt;=Assumptions!B101,Assumptions!B109,0))*Assumptions!B111),0)</f>
        <v>300</v>
      </c>
      <c r="D25" s="16" t="n">
        <f aca="false">ROUND(ROUND(Assumptions!B119*(1+Assumptions!B120)^6*(1+Assumptions!B121)^6*(1+Assumptions!B122)^(A25-12),0)*Assumptions!B123,0)</f>
        <v>13</v>
      </c>
      <c r="E25" s="16" t="n">
        <f aca="false">B25+C25+D25</f>
        <v>1900</v>
      </c>
      <c r="F25" s="16" t="n">
        <f aca="false">ROUND(E25*Assumptions!B22,0)</f>
        <v>3</v>
      </c>
      <c r="G25" s="16" t="n">
        <f aca="false">ROUND(H24*Assumptions!B50,0)</f>
        <v>1</v>
      </c>
      <c r="H25" s="16" t="n">
        <f aca="false">H24+F25-G25</f>
        <v>20</v>
      </c>
      <c r="I25" s="17" t="n">
        <f aca="false">ROUND(H25*(Assumptions!B15*0.85+Assumptions!B11*0.15),0)</f>
        <v>230</v>
      </c>
      <c r="J25" s="17" t="n">
        <f aca="false">ROUND(E25*Assumptions!B95*Assumptions!B96*Assumptions!B97*Assumptions!B94,0)</f>
        <v>74</v>
      </c>
      <c r="K25" s="17" t="n">
        <f aca="false">ROUND(E25*Assumptions!B57*Assumptions!B58,0)</f>
        <v>665</v>
      </c>
      <c r="L25" s="17" t="n">
        <f aca="false">ROUND(IF(A25&lt;Assumptions!B113,0,IF(A25&lt;=18,Assumptions!B105,Assumptions!B107)/1000*Assumptions!B115*0.55+IF(A25&gt;=Assumptions!B114,IF(A25&lt;=18,Assumptions!B105,Assumptions!B107)*Assumptions!B109/1000*Assumptions!B116*0.55,0)),0)</f>
        <v>94</v>
      </c>
      <c r="M25" s="17" t="n">
        <f aca="false">I25+J25+K25+L25</f>
        <v>1063</v>
      </c>
      <c r="N25" s="17" t="n">
        <f aca="false">ROUND(H25*Assumptions!B62*Assumptions!B61,0)+Assumptions!B63+IF(H25&gt;Assumptions!B64,45,0)+Assumptions!B65+Assumptions!B66+Assumptions!B67+Assumptions!B68+Assumptions!B69/12+IF(A25&gt;=3,Assumptions!B72,0)+ROUND(I25*Assumptions!B70+H25*Assumptions!B71,0)+0</f>
        <v>201</v>
      </c>
      <c r="O25" s="17" t="n">
        <f aca="false">M25-N25</f>
        <v>862</v>
      </c>
      <c r="P25" s="17" t="n">
        <f aca="false">IF((Q24+O25)&lt;N25*Assumptions!B89,0,IF((Q24+O25)&lt;N25*6,ROUND(MAX(O25,0)*Assumptions!B90,0),ROUND(MAX(O25,0)*Assumptions!B91,0)))</f>
        <v>431</v>
      </c>
      <c r="Q25" s="17" t="n">
        <f aca="false">Q24+O25-P25</f>
        <v>1730</v>
      </c>
    </row>
    <row r="26" customFormat="false" ht="15" hidden="false" customHeight="true" outlineLevel="0" collapsed="false">
      <c r="A26" s="5" t="n">
        <v>23</v>
      </c>
      <c r="B26" s="13" t="n">
        <f aca="false">ROUND(B25*(1+Assumptions!B38),0)</f>
        <v>1682</v>
      </c>
      <c r="C26" s="13" t="n">
        <f aca="false">ROUND(IF(A26&lt;Assumptions!B100,0,IF(A26&lt;=8,Assumptions!B103,IF(A26&lt;=12,Assumptions!B104,IF(A26&lt;=18,Assumptions!B105,IF(A26&lt;=24,Assumptions!B106,Assumptions!B107))))*(1+IF(A26&gt;=Assumptions!B101,Assumptions!B109,0))*Assumptions!B111),0)</f>
        <v>300</v>
      </c>
      <c r="D26" s="13" t="n">
        <f aca="false">ROUND(ROUND(Assumptions!B119*(1+Assumptions!B120)^6*(1+Assumptions!B121)^6*(1+Assumptions!B122)^(A26-12),0)*Assumptions!B123,0)</f>
        <v>15</v>
      </c>
      <c r="E26" s="13" t="n">
        <f aca="false">B26+C26+D26</f>
        <v>1997</v>
      </c>
      <c r="F26" s="13" t="n">
        <f aca="false">ROUND(E26*Assumptions!B22,0)</f>
        <v>3</v>
      </c>
      <c r="G26" s="13" t="n">
        <f aca="false">ROUND(H25*Assumptions!B50,0)</f>
        <v>2</v>
      </c>
      <c r="H26" s="13" t="n">
        <f aca="false">H25+F26-G26</f>
        <v>21</v>
      </c>
      <c r="I26" s="14" t="n">
        <f aca="false">ROUND(H26*(Assumptions!B15*0.85+Assumptions!B11*0.15),0)</f>
        <v>241</v>
      </c>
      <c r="J26" s="14" t="n">
        <f aca="false">ROUND(E26*Assumptions!B95*Assumptions!B96*Assumptions!B97*Assumptions!B94,0)</f>
        <v>78</v>
      </c>
      <c r="K26" s="14" t="n">
        <f aca="false">ROUND(E26*Assumptions!B57*Assumptions!B58,0)</f>
        <v>699</v>
      </c>
      <c r="L26" s="14" t="n">
        <f aca="false">ROUND(IF(A26&lt;Assumptions!B113,0,IF(A26&lt;=18,Assumptions!B105,Assumptions!B107)/1000*Assumptions!B115*0.55+IF(A26&gt;=Assumptions!B114,IF(A26&lt;=18,Assumptions!B105,Assumptions!B107)*Assumptions!B109/1000*Assumptions!B116*0.55,0)),0)</f>
        <v>94</v>
      </c>
      <c r="M26" s="14" t="n">
        <f aca="false">I26+J26+K26+L26</f>
        <v>1112</v>
      </c>
      <c r="N26" s="14" t="n">
        <f aca="false">ROUND(H26*Assumptions!B62*Assumptions!B61,0)+Assumptions!B63+IF(H26&gt;Assumptions!B64,45,0)+Assumptions!B65+Assumptions!B66+Assumptions!B67+Assumptions!B68+Assumptions!B69/12+IF(A26&gt;=3,Assumptions!B72,0)+ROUND(I26*Assumptions!B70+H26*Assumptions!B71,0)+0</f>
        <v>201</v>
      </c>
      <c r="O26" s="14" t="n">
        <f aca="false">M26-N26</f>
        <v>911</v>
      </c>
      <c r="P26" s="14" t="n">
        <f aca="false">IF((Q25+O26)&lt;N26*Assumptions!B89,0,IF((Q25+O26)&lt;N26*6,ROUND(MAX(O26,0)*Assumptions!B90,0),ROUND(MAX(O26,0)*Assumptions!B91,0)))</f>
        <v>456</v>
      </c>
      <c r="Q26" s="14" t="n">
        <f aca="false">Q25+O26-P26</f>
        <v>2185</v>
      </c>
    </row>
    <row r="27" customFormat="false" ht="15" hidden="false" customHeight="true" outlineLevel="0" collapsed="false">
      <c r="A27" s="15" t="n">
        <v>24</v>
      </c>
      <c r="B27" s="16" t="n">
        <f aca="false">ROUND(B26*(1+Assumptions!B38),0)</f>
        <v>1783</v>
      </c>
      <c r="C27" s="16" t="n">
        <f aca="false">ROUND(IF(A27&lt;Assumptions!B100,0,IF(A27&lt;=8,Assumptions!B103,IF(A27&lt;=12,Assumptions!B104,IF(A27&lt;=18,Assumptions!B105,IF(A27&lt;=24,Assumptions!B106,Assumptions!B107))))*(1+IF(A27&gt;=Assumptions!B101,Assumptions!B109,0))*Assumptions!B111),0)</f>
        <v>300</v>
      </c>
      <c r="D27" s="16" t="n">
        <f aca="false">ROUND(ROUND(Assumptions!B119*(1+Assumptions!B120)^6*(1+Assumptions!B121)^6*(1+Assumptions!B122)^(A27-12),0)*Assumptions!B123,0)</f>
        <v>16</v>
      </c>
      <c r="E27" s="16" t="n">
        <f aca="false">B27+C27+D27</f>
        <v>2099</v>
      </c>
      <c r="F27" s="16" t="n">
        <f aca="false">ROUND(E27*Assumptions!B22,0)</f>
        <v>3</v>
      </c>
      <c r="G27" s="16" t="n">
        <f aca="false">ROUND(H26*Assumptions!B50,0)</f>
        <v>2</v>
      </c>
      <c r="H27" s="16" t="n">
        <f aca="false">H26+F27-G27</f>
        <v>22</v>
      </c>
      <c r="I27" s="17" t="n">
        <f aca="false">ROUND(H27*(Assumptions!B15*0.85+Assumptions!B11*0.15),0)</f>
        <v>252</v>
      </c>
      <c r="J27" s="17" t="n">
        <f aca="false">ROUND(E27*Assumptions!B95*Assumptions!B96*Assumptions!B97*Assumptions!B94,0)</f>
        <v>82</v>
      </c>
      <c r="K27" s="17" t="n">
        <f aca="false">ROUND(E27*Assumptions!B57*Assumptions!B58,0)</f>
        <v>735</v>
      </c>
      <c r="L27" s="17" t="n">
        <f aca="false">ROUND(IF(A27&lt;Assumptions!B113,0,IF(A27&lt;=18,Assumptions!B105,Assumptions!B107)/1000*Assumptions!B115*0.55+IF(A27&gt;=Assumptions!B114,IF(A27&lt;=18,Assumptions!B105,Assumptions!B107)*Assumptions!B109/1000*Assumptions!B116*0.55,0)),0)</f>
        <v>94</v>
      </c>
      <c r="M27" s="17" t="n">
        <f aca="false">I27+J27+K27+L27</f>
        <v>1163</v>
      </c>
      <c r="N27" s="17" t="n">
        <f aca="false">ROUND(H27*Assumptions!B62*Assumptions!B61,0)+Assumptions!B63+IF(H27&gt;Assumptions!B64,45,0)+Assumptions!B65+Assumptions!B66+Assumptions!B67+Assumptions!B68+Assumptions!B69/12+IF(A27&gt;=3,Assumptions!B72,0)+ROUND(I27*Assumptions!B70+H27*Assumptions!B71,0)+0</f>
        <v>202</v>
      </c>
      <c r="O27" s="17" t="n">
        <f aca="false">M27-N27</f>
        <v>961</v>
      </c>
      <c r="P27" s="17" t="n">
        <f aca="false">IF((Q26+O27)&lt;N27*Assumptions!B89,0,IF((Q26+O27)&lt;N27*6,ROUND(MAX(O27,0)*Assumptions!B90,0),ROUND(MAX(O27,0)*Assumptions!B91,0)))</f>
        <v>481</v>
      </c>
      <c r="Q27" s="17" t="n">
        <f aca="false">Q26+O27-P27</f>
        <v>2665</v>
      </c>
    </row>
    <row r="28" customFormat="false" ht="15" hidden="false" customHeight="true" outlineLevel="0" collapsed="false">
      <c r="A28" s="5" t="n">
        <v>25</v>
      </c>
      <c r="B28" s="13" t="n">
        <f aca="false">ROUND(B27*(1+Assumptions!B42),0)</f>
        <v>1854</v>
      </c>
      <c r="C28" s="13" t="n">
        <f aca="false">ROUND(IF(A28&lt;Assumptions!B100,0,IF(A28&lt;=8,Assumptions!B103,IF(A28&lt;=12,Assumptions!B104,IF(A28&lt;=18,Assumptions!B105,IF(A28&lt;=24,Assumptions!B106,Assumptions!B107))))*(1+IF(A28&gt;=Assumptions!B101,Assumptions!B109,0))*Assumptions!B111),0)</f>
        <v>540</v>
      </c>
      <c r="D28" s="13" t="n">
        <f aca="false">ROUND(ROUND(Assumptions!B119*(1+Assumptions!B120)^6*(1+Assumptions!B121)^6*(1+Assumptions!B122)^(A28-12),0)*Assumptions!B123,0)</f>
        <v>18</v>
      </c>
      <c r="E28" s="13" t="n">
        <f aca="false">B28+C28+D28</f>
        <v>2412</v>
      </c>
      <c r="F28" s="13" t="n">
        <f aca="false">ROUND(E28*Assumptions!B22,0)</f>
        <v>4</v>
      </c>
      <c r="G28" s="13" t="n">
        <f aca="false">ROUND(H27*Assumptions!B50,0)</f>
        <v>2</v>
      </c>
      <c r="H28" s="13" t="n">
        <f aca="false">H27+F28-G28</f>
        <v>24</v>
      </c>
      <c r="I28" s="14" t="n">
        <f aca="false">ROUND(H28*(Assumptions!B15*0.85+Assumptions!B11*0.15),0)</f>
        <v>275</v>
      </c>
      <c r="J28" s="14" t="n">
        <f aca="false">ROUND(E28*Assumptions!B95*Assumptions!B96*Assumptions!B97*Assumptions!B94,0)</f>
        <v>94</v>
      </c>
      <c r="K28" s="14" t="n">
        <f aca="false">ROUND(E28*Assumptions!B57*Assumptions!B58,0)</f>
        <v>844</v>
      </c>
      <c r="L28" s="14" t="n">
        <f aca="false">ROUND(IF(A28&lt;Assumptions!B113,0,IF(A28&lt;=18,Assumptions!B105,Assumptions!B107)/1000*Assumptions!B115*0.55+IF(A28&gt;=Assumptions!B114,IF(A28&lt;=18,Assumptions!B105,Assumptions!B107)*Assumptions!B109/1000*Assumptions!B116*0.55,0)),0)</f>
        <v>94</v>
      </c>
      <c r="M28" s="14" t="n">
        <f aca="false">I28+J28+K28+L28</f>
        <v>1307</v>
      </c>
      <c r="N28" s="14" t="n">
        <f aca="false">ROUND(H28*Assumptions!B62*Assumptions!B61,0)+Assumptions!B63+IF(H28&gt;Assumptions!B64,45,0)+Assumptions!B65+Assumptions!B66+Assumptions!B67+Assumptions!B68+Assumptions!B69/12+IF(A28&gt;=3,Assumptions!B72,0)+ROUND(I28*Assumptions!B70+H28*Assumptions!B71,0)+0</f>
        <v>204</v>
      </c>
      <c r="O28" s="14" t="n">
        <f aca="false">M28-N28</f>
        <v>1103</v>
      </c>
      <c r="P28" s="14" t="n">
        <f aca="false">IF((Q27+O28)&lt;N28*Assumptions!B89,0,IF((Q27+O28)&lt;N28*6,ROUND(MAX(O28,0)*Assumptions!B90,0),ROUND(MAX(O28,0)*Assumptions!B91,0)))</f>
        <v>552</v>
      </c>
      <c r="Q28" s="14" t="n">
        <f aca="false">Q27+O28-P28</f>
        <v>3216</v>
      </c>
    </row>
    <row r="29" customFormat="false" ht="15" hidden="false" customHeight="true" outlineLevel="0" collapsed="false">
      <c r="A29" s="15" t="n">
        <v>26</v>
      </c>
      <c r="B29" s="16" t="n">
        <f aca="false">ROUND(B28*(1+Assumptions!B42),0)</f>
        <v>1928</v>
      </c>
      <c r="C29" s="16" t="n">
        <f aca="false">ROUND(IF(A29&lt;Assumptions!B100,0,IF(A29&lt;=8,Assumptions!B103,IF(A29&lt;=12,Assumptions!B104,IF(A29&lt;=18,Assumptions!B105,IF(A29&lt;=24,Assumptions!B106,Assumptions!B107))))*(1+IF(A29&gt;=Assumptions!B101,Assumptions!B109,0))*Assumptions!B111),0)</f>
        <v>540</v>
      </c>
      <c r="D29" s="16" t="n">
        <f aca="false">ROUND(ROUND(Assumptions!B119*(1+Assumptions!B120)^6*(1+Assumptions!B121)^6*(1+Assumptions!B122)^(A29-12),0)*Assumptions!B123,0)</f>
        <v>20</v>
      </c>
      <c r="E29" s="16" t="n">
        <f aca="false">B29+C29+D29</f>
        <v>2488</v>
      </c>
      <c r="F29" s="16" t="n">
        <f aca="false">ROUND(E29*Assumptions!B22,0)</f>
        <v>4</v>
      </c>
      <c r="G29" s="16" t="n">
        <f aca="false">ROUND(H28*Assumptions!B50,0)</f>
        <v>2</v>
      </c>
      <c r="H29" s="16" t="n">
        <f aca="false">H28+F29-G29</f>
        <v>26</v>
      </c>
      <c r="I29" s="17" t="n">
        <f aca="false">ROUND(H29*(Assumptions!B15*0.85+Assumptions!B11*0.15),0)</f>
        <v>298</v>
      </c>
      <c r="J29" s="17" t="n">
        <f aca="false">ROUND(E29*Assumptions!B95*Assumptions!B96*Assumptions!B97*Assumptions!B94,0)</f>
        <v>97</v>
      </c>
      <c r="K29" s="17" t="n">
        <f aca="false">ROUND(E29*Assumptions!B57*Assumptions!B58,0)</f>
        <v>871</v>
      </c>
      <c r="L29" s="17" t="n">
        <f aca="false">ROUND(IF(A29&lt;Assumptions!B113,0,IF(A29&lt;=18,Assumptions!B105,Assumptions!B107)/1000*Assumptions!B115*0.55+IF(A29&gt;=Assumptions!B114,IF(A29&lt;=18,Assumptions!B105,Assumptions!B107)*Assumptions!B109/1000*Assumptions!B116*0.55,0)),0)</f>
        <v>94</v>
      </c>
      <c r="M29" s="17" t="n">
        <f aca="false">I29+J29+K29+L29</f>
        <v>1360</v>
      </c>
      <c r="N29" s="17" t="n">
        <f aca="false">ROUND(H29*Assumptions!B62*Assumptions!B61,0)+Assumptions!B63+IF(H29&gt;Assumptions!B64,45,0)+Assumptions!B65+Assumptions!B66+Assumptions!B67+Assumptions!B68+Assumptions!B69/12+IF(A29&gt;=3,Assumptions!B72,0)+ROUND(I29*Assumptions!B70+H29*Assumptions!B71,0)+0</f>
        <v>205</v>
      </c>
      <c r="O29" s="17" t="n">
        <f aca="false">M29-N29</f>
        <v>1155</v>
      </c>
      <c r="P29" s="17" t="n">
        <f aca="false">IF((Q28+O29)&lt;N29*Assumptions!B89,0,IF((Q28+O29)&lt;N29*6,ROUND(MAX(O29,0)*Assumptions!B90,0),ROUND(MAX(O29,0)*Assumptions!B91,0)))</f>
        <v>578</v>
      </c>
      <c r="Q29" s="17" t="n">
        <f aca="false">Q28+O29-P29</f>
        <v>3793</v>
      </c>
    </row>
    <row r="30" customFormat="false" ht="15" hidden="false" customHeight="true" outlineLevel="0" collapsed="false">
      <c r="A30" s="5" t="n">
        <v>27</v>
      </c>
      <c r="B30" s="13" t="n">
        <f aca="false">ROUND(B29*(1+Assumptions!B42),0)</f>
        <v>2005</v>
      </c>
      <c r="C30" s="13" t="n">
        <f aca="false">ROUND(IF(A30&lt;Assumptions!B100,0,IF(A30&lt;=8,Assumptions!B103,IF(A30&lt;=12,Assumptions!B104,IF(A30&lt;=18,Assumptions!B105,IF(A30&lt;=24,Assumptions!B106,Assumptions!B107))))*(1+IF(A30&gt;=Assumptions!B101,Assumptions!B109,0))*Assumptions!B111),0)</f>
        <v>540</v>
      </c>
      <c r="D30" s="13" t="n">
        <f aca="false">ROUND(ROUND(Assumptions!B119*(1+Assumptions!B120)^6*(1+Assumptions!B121)^6*(1+Assumptions!B122)^(A30-12),0)*Assumptions!B123,0)</f>
        <v>22</v>
      </c>
      <c r="E30" s="13" t="n">
        <f aca="false">B30+C30+D30</f>
        <v>2567</v>
      </c>
      <c r="F30" s="13" t="n">
        <f aca="false">ROUND(E30*Assumptions!B22,0)</f>
        <v>4</v>
      </c>
      <c r="G30" s="13" t="n">
        <f aca="false">ROUND(H29*Assumptions!B50,0)</f>
        <v>2</v>
      </c>
      <c r="H30" s="13" t="n">
        <f aca="false">H29+F30-G30</f>
        <v>28</v>
      </c>
      <c r="I30" s="14" t="n">
        <f aca="false">ROUND(H30*(Assumptions!B15*0.85+Assumptions!B11*0.15),0)</f>
        <v>321</v>
      </c>
      <c r="J30" s="14" t="n">
        <f aca="false">ROUND(E30*Assumptions!B95*Assumptions!B96*Assumptions!B97*Assumptions!B94,0)</f>
        <v>100</v>
      </c>
      <c r="K30" s="14" t="n">
        <f aca="false">ROUND(E30*Assumptions!B57*Assumptions!B58,0)</f>
        <v>898</v>
      </c>
      <c r="L30" s="14" t="n">
        <f aca="false">ROUND(IF(A30&lt;Assumptions!B113,0,IF(A30&lt;=18,Assumptions!B105,Assumptions!B107)/1000*Assumptions!B115*0.55+IF(A30&gt;=Assumptions!B114,IF(A30&lt;=18,Assumptions!B105,Assumptions!B107)*Assumptions!B109/1000*Assumptions!B116*0.55,0)),0)</f>
        <v>94</v>
      </c>
      <c r="M30" s="14" t="n">
        <f aca="false">I30+J30+K30+L30</f>
        <v>1413</v>
      </c>
      <c r="N30" s="14" t="n">
        <f aca="false">ROUND(H30*Assumptions!B62*Assumptions!B61,0)+Assumptions!B63+IF(H30&gt;Assumptions!B64,45,0)+Assumptions!B65+Assumptions!B66+Assumptions!B67+Assumptions!B68+Assumptions!B69/12+IF(A30&gt;=3,Assumptions!B72,0)+ROUND(I30*Assumptions!B70+H30*Assumptions!B71,0)+0</f>
        <v>208</v>
      </c>
      <c r="O30" s="14" t="n">
        <f aca="false">M30-N30</f>
        <v>1205</v>
      </c>
      <c r="P30" s="14" t="n">
        <f aca="false">IF((Q29+O30)&lt;N30*Assumptions!B89,0,IF((Q29+O30)&lt;N30*6,ROUND(MAX(O30,0)*Assumptions!B90,0),ROUND(MAX(O30,0)*Assumptions!B91,0)))</f>
        <v>603</v>
      </c>
      <c r="Q30" s="14" t="n">
        <f aca="false">Q29+O30-P30</f>
        <v>4395</v>
      </c>
    </row>
    <row r="31" customFormat="false" ht="15" hidden="false" customHeight="true" outlineLevel="0" collapsed="false">
      <c r="A31" s="15" t="n">
        <v>28</v>
      </c>
      <c r="B31" s="16" t="n">
        <f aca="false">ROUND(B30*(1+Assumptions!B42),0)</f>
        <v>2085</v>
      </c>
      <c r="C31" s="16" t="n">
        <f aca="false">ROUND(IF(A31&lt;Assumptions!B100,0,IF(A31&lt;=8,Assumptions!B103,IF(A31&lt;=12,Assumptions!B104,IF(A31&lt;=18,Assumptions!B105,IF(A31&lt;=24,Assumptions!B106,Assumptions!B107))))*(1+IF(A31&gt;=Assumptions!B101,Assumptions!B109,0))*Assumptions!B111),0)</f>
        <v>540</v>
      </c>
      <c r="D31" s="16" t="n">
        <f aca="false">ROUND(ROUND(Assumptions!B119*(1+Assumptions!B120)^6*(1+Assumptions!B121)^6*(1+Assumptions!B122)^(A31-12),0)*Assumptions!B123,0)</f>
        <v>24</v>
      </c>
      <c r="E31" s="16" t="n">
        <f aca="false">B31+C31+D31</f>
        <v>2649</v>
      </c>
      <c r="F31" s="16" t="n">
        <f aca="false">ROUND(E31*Assumptions!B22,0)</f>
        <v>4</v>
      </c>
      <c r="G31" s="16" t="n">
        <f aca="false">ROUND(H30*Assumptions!B50,0)</f>
        <v>2</v>
      </c>
      <c r="H31" s="16" t="n">
        <f aca="false">H30+F31-G31</f>
        <v>30</v>
      </c>
      <c r="I31" s="17" t="n">
        <f aca="false">ROUND(H31*(Assumptions!B15*0.85+Assumptions!B11*0.15),0)</f>
        <v>344</v>
      </c>
      <c r="J31" s="17" t="n">
        <f aca="false">ROUND(E31*Assumptions!B95*Assumptions!B96*Assumptions!B97*Assumptions!B94,0)</f>
        <v>103</v>
      </c>
      <c r="K31" s="17" t="n">
        <f aca="false">ROUND(E31*Assumptions!B57*Assumptions!B58,0)</f>
        <v>927</v>
      </c>
      <c r="L31" s="17" t="n">
        <f aca="false">ROUND(IF(A31&lt;Assumptions!B113,0,IF(A31&lt;=18,Assumptions!B105,Assumptions!B107)/1000*Assumptions!B115*0.55+IF(A31&gt;=Assumptions!B114,IF(A31&lt;=18,Assumptions!B105,Assumptions!B107)*Assumptions!B109/1000*Assumptions!B116*0.55,0)),0)</f>
        <v>94</v>
      </c>
      <c r="M31" s="17" t="n">
        <f aca="false">I31+J31+K31+L31</f>
        <v>1468</v>
      </c>
      <c r="N31" s="17" t="n">
        <f aca="false">ROUND(H31*Assumptions!B62*Assumptions!B61,0)+Assumptions!B63+IF(H31&gt;Assumptions!B64,45,0)+Assumptions!B65+Assumptions!B66+Assumptions!B67+Assumptions!B68+Assumptions!B69/12+IF(A31&gt;=3,Assumptions!B72,0)+ROUND(I31*Assumptions!B70+H31*Assumptions!B71,0)+0</f>
        <v>209</v>
      </c>
      <c r="O31" s="17" t="n">
        <f aca="false">M31-N31</f>
        <v>1259</v>
      </c>
      <c r="P31" s="17" t="n">
        <f aca="false">IF((Q30+O31)&lt;N31*Assumptions!B89,0,IF((Q30+O31)&lt;N31*6,ROUND(MAX(O31,0)*Assumptions!B90,0),ROUND(MAX(O31,0)*Assumptions!B91,0)))</f>
        <v>630</v>
      </c>
      <c r="Q31" s="17" t="n">
        <f aca="false">Q30+O31-P31</f>
        <v>5024</v>
      </c>
    </row>
    <row r="32" customFormat="false" ht="15" hidden="false" customHeight="true" outlineLevel="0" collapsed="false">
      <c r="A32" s="5" t="n">
        <v>29</v>
      </c>
      <c r="B32" s="13" t="n">
        <f aca="false">ROUND(B31*(1+Assumptions!B42),0)</f>
        <v>2168</v>
      </c>
      <c r="C32" s="13" t="n">
        <f aca="false">ROUND(IF(A32&lt;Assumptions!B100,0,IF(A32&lt;=8,Assumptions!B103,IF(A32&lt;=12,Assumptions!B104,IF(A32&lt;=18,Assumptions!B105,IF(A32&lt;=24,Assumptions!B106,Assumptions!B107))))*(1+IF(A32&gt;=Assumptions!B101,Assumptions!B109,0))*Assumptions!B111),0)</f>
        <v>540</v>
      </c>
      <c r="D32" s="13" t="n">
        <f aca="false">ROUND(ROUND(Assumptions!B119*(1+Assumptions!B120)^6*(1+Assumptions!B121)^6*(1+Assumptions!B122)^(A32-12),0)*Assumptions!B123,0)</f>
        <v>26</v>
      </c>
      <c r="E32" s="13" t="n">
        <f aca="false">B32+C32+D32</f>
        <v>2734</v>
      </c>
      <c r="F32" s="13" t="n">
        <f aca="false">ROUND(E32*Assumptions!B22,0)</f>
        <v>4</v>
      </c>
      <c r="G32" s="13" t="n">
        <f aca="false">ROUND(H31*Assumptions!B50,0)</f>
        <v>2</v>
      </c>
      <c r="H32" s="13" t="n">
        <f aca="false">H31+F32-G32</f>
        <v>32</v>
      </c>
      <c r="I32" s="14" t="n">
        <f aca="false">ROUND(H32*(Assumptions!B15*0.85+Assumptions!B11*0.15),0)</f>
        <v>367</v>
      </c>
      <c r="J32" s="14" t="n">
        <f aca="false">ROUND(E32*Assumptions!B95*Assumptions!B96*Assumptions!B97*Assumptions!B94,0)</f>
        <v>107</v>
      </c>
      <c r="K32" s="14" t="n">
        <f aca="false">ROUND(E32*Assumptions!B57*Assumptions!B58,0)</f>
        <v>957</v>
      </c>
      <c r="L32" s="14" t="n">
        <f aca="false">ROUND(IF(A32&lt;Assumptions!B113,0,IF(A32&lt;=18,Assumptions!B105,Assumptions!B107)/1000*Assumptions!B115*0.55+IF(A32&gt;=Assumptions!B114,IF(A32&lt;=18,Assumptions!B105,Assumptions!B107)*Assumptions!B109/1000*Assumptions!B116*0.55,0)),0)</f>
        <v>94</v>
      </c>
      <c r="M32" s="14" t="n">
        <f aca="false">I32+J32+K32+L32</f>
        <v>1525</v>
      </c>
      <c r="N32" s="14" t="n">
        <f aca="false">ROUND(H32*Assumptions!B62*Assumptions!B61,0)+Assumptions!B63+IF(H32&gt;Assumptions!B64,45,0)+Assumptions!B65+Assumptions!B66+Assumptions!B67+Assumptions!B68+Assumptions!B69/12+IF(A32&gt;=3,Assumptions!B72,0)+ROUND(I32*Assumptions!B70+H32*Assumptions!B71,0)+0</f>
        <v>211</v>
      </c>
      <c r="O32" s="14" t="n">
        <f aca="false">M32-N32</f>
        <v>1314</v>
      </c>
      <c r="P32" s="14" t="n">
        <f aca="false">IF((Q31+O32)&lt;N32*Assumptions!B89,0,IF((Q31+O32)&lt;N32*6,ROUND(MAX(O32,0)*Assumptions!B90,0),ROUND(MAX(O32,0)*Assumptions!B91,0)))</f>
        <v>657</v>
      </c>
      <c r="Q32" s="14" t="n">
        <f aca="false">Q31+O32-P32</f>
        <v>5681</v>
      </c>
    </row>
    <row r="33" customFormat="false" ht="15" hidden="false" customHeight="true" outlineLevel="0" collapsed="false">
      <c r="A33" s="15" t="n">
        <v>30</v>
      </c>
      <c r="B33" s="16" t="n">
        <f aca="false">ROUND(B32*(1+Assumptions!B42),0)</f>
        <v>2255</v>
      </c>
      <c r="C33" s="16" t="n">
        <f aca="false">ROUND(IF(A33&lt;Assumptions!B100,0,IF(A33&lt;=8,Assumptions!B103,IF(A33&lt;=12,Assumptions!B104,IF(A33&lt;=18,Assumptions!B105,IF(A33&lt;=24,Assumptions!B106,Assumptions!B107))))*(1+IF(A33&gt;=Assumptions!B101,Assumptions!B109,0))*Assumptions!B111),0)</f>
        <v>540</v>
      </c>
      <c r="D33" s="16" t="n">
        <f aca="false">ROUND(ROUND(Assumptions!B119*(1+Assumptions!B120)^6*(1+Assumptions!B121)^6*(1+Assumptions!B122)^(A33-12),0)*Assumptions!B123,0)</f>
        <v>29</v>
      </c>
      <c r="E33" s="16" t="n">
        <f aca="false">B33+C33+D33</f>
        <v>2824</v>
      </c>
      <c r="F33" s="16" t="n">
        <f aca="false">ROUND(E33*Assumptions!B22,0)</f>
        <v>4</v>
      </c>
      <c r="G33" s="16" t="n">
        <f aca="false">ROUND(H32*Assumptions!B50,0)</f>
        <v>3</v>
      </c>
      <c r="H33" s="16" t="n">
        <f aca="false">H32+F33-G33</f>
        <v>33</v>
      </c>
      <c r="I33" s="17" t="n">
        <f aca="false">ROUND(H33*(Assumptions!B15*0.85+Assumptions!B11*0.15),0)</f>
        <v>379</v>
      </c>
      <c r="J33" s="17" t="n">
        <f aca="false">ROUND(E33*Assumptions!B95*Assumptions!B96*Assumptions!B97*Assumptions!B94,0)</f>
        <v>110</v>
      </c>
      <c r="K33" s="17" t="n">
        <f aca="false">ROUND(E33*Assumptions!B57*Assumptions!B58,0)</f>
        <v>988</v>
      </c>
      <c r="L33" s="17" t="n">
        <f aca="false">ROUND(IF(A33&lt;Assumptions!B113,0,IF(A33&lt;=18,Assumptions!B105,Assumptions!B107)/1000*Assumptions!B115*0.55+IF(A33&gt;=Assumptions!B114,IF(A33&lt;=18,Assumptions!B105,Assumptions!B107)*Assumptions!B109/1000*Assumptions!B116*0.55,0)),0)</f>
        <v>94</v>
      </c>
      <c r="M33" s="17" t="n">
        <f aca="false">I33+J33+K33+L33</f>
        <v>1571</v>
      </c>
      <c r="N33" s="17" t="n">
        <f aca="false">ROUND(H33*Assumptions!B62*Assumptions!B61,0)+Assumptions!B63+IF(H33&gt;Assumptions!B64,45,0)+Assumptions!B65+Assumptions!B66+Assumptions!B67+Assumptions!B68+Assumptions!B69/12+IF(A33&gt;=3,Assumptions!B72,0)+ROUND(I33*Assumptions!B70+H33*Assumptions!B71,0)+0</f>
        <v>212</v>
      </c>
      <c r="O33" s="17" t="n">
        <f aca="false">M33-N33</f>
        <v>1359</v>
      </c>
      <c r="P33" s="17" t="n">
        <f aca="false">IF((Q32+O33)&lt;N33*Assumptions!B89,0,IF((Q32+O33)&lt;N33*6,ROUND(MAX(O33,0)*Assumptions!B90,0),ROUND(MAX(O33,0)*Assumptions!B91,0)))</f>
        <v>680</v>
      </c>
      <c r="Q33" s="17" t="n">
        <f aca="false">Q32+O33-P33</f>
        <v>6360</v>
      </c>
    </row>
    <row r="34" customFormat="false" ht="15" hidden="false" customHeight="true" outlineLevel="0" collapsed="false">
      <c r="A34" s="5" t="n">
        <v>31</v>
      </c>
      <c r="B34" s="13" t="n">
        <f aca="false">ROUND(B33*(1+Assumptions!B42),0)</f>
        <v>2345</v>
      </c>
      <c r="C34" s="13" t="n">
        <f aca="false">ROUND(IF(A34&lt;Assumptions!B100,0,IF(A34&lt;=8,Assumptions!B103,IF(A34&lt;=12,Assumptions!B104,IF(A34&lt;=18,Assumptions!B105,IF(A34&lt;=24,Assumptions!B106,Assumptions!B107))))*(1+IF(A34&gt;=Assumptions!B101,Assumptions!B109,0))*Assumptions!B111),0)</f>
        <v>540</v>
      </c>
      <c r="D34" s="13" t="n">
        <f aca="false">ROUND(ROUND(Assumptions!B119*(1+Assumptions!B120)^6*(1+Assumptions!B121)^6*(1+Assumptions!B122)^(A34-12),0)*Assumptions!B123,0)</f>
        <v>32</v>
      </c>
      <c r="E34" s="13" t="n">
        <f aca="false">B34+C34+D34</f>
        <v>2917</v>
      </c>
      <c r="F34" s="13" t="n">
        <f aca="false">ROUND(E34*Assumptions!B22,0)</f>
        <v>4</v>
      </c>
      <c r="G34" s="13" t="n">
        <f aca="false">ROUND(H33*Assumptions!B50,0)</f>
        <v>3</v>
      </c>
      <c r="H34" s="13" t="n">
        <f aca="false">H33+F34-G34</f>
        <v>34</v>
      </c>
      <c r="I34" s="14" t="n">
        <f aca="false">ROUND(H34*(Assumptions!B15*0.85+Assumptions!B11*0.15),0)</f>
        <v>390</v>
      </c>
      <c r="J34" s="14" t="n">
        <f aca="false">ROUND(E34*Assumptions!B95*Assumptions!B96*Assumptions!B97*Assumptions!B94,0)</f>
        <v>114</v>
      </c>
      <c r="K34" s="14" t="n">
        <f aca="false">ROUND(E34*Assumptions!B57*Assumptions!B58,0)</f>
        <v>1021</v>
      </c>
      <c r="L34" s="14" t="n">
        <f aca="false">ROUND(IF(A34&lt;Assumptions!B113,0,IF(A34&lt;=18,Assumptions!B105,Assumptions!B107)/1000*Assumptions!B115*0.55+IF(A34&gt;=Assumptions!B114,IF(A34&lt;=18,Assumptions!B105,Assumptions!B107)*Assumptions!B109/1000*Assumptions!B116*0.55,0)),0)</f>
        <v>94</v>
      </c>
      <c r="M34" s="14" t="n">
        <f aca="false">I34+J34+K34+L34</f>
        <v>1619</v>
      </c>
      <c r="N34" s="14" t="n">
        <f aca="false">ROUND(H34*Assumptions!B62*Assumptions!B61,0)+Assumptions!B63+IF(H34&gt;Assumptions!B64,45,0)+Assumptions!B65+Assumptions!B66+Assumptions!B67+Assumptions!B68+Assumptions!B69/12+IF(A34&gt;=3,Assumptions!B72,0)+ROUND(I34*Assumptions!B70+H34*Assumptions!B71,0)+0</f>
        <v>214</v>
      </c>
      <c r="O34" s="14" t="n">
        <f aca="false">M34-N34</f>
        <v>1405</v>
      </c>
      <c r="P34" s="14" t="n">
        <f aca="false">IF((Q33+O34)&lt;N34*Assumptions!B89,0,IF((Q33+O34)&lt;N34*6,ROUND(MAX(O34,0)*Assumptions!B90,0),ROUND(MAX(O34,0)*Assumptions!B91,0)))</f>
        <v>703</v>
      </c>
      <c r="Q34" s="14" t="n">
        <f aca="false">Q33+O34-P34</f>
        <v>7062</v>
      </c>
    </row>
    <row r="35" customFormat="false" ht="15" hidden="false" customHeight="true" outlineLevel="0" collapsed="false">
      <c r="A35" s="15" t="n">
        <v>32</v>
      </c>
      <c r="B35" s="16" t="n">
        <f aca="false">ROUND(B34*(1+Assumptions!B42),0)</f>
        <v>2439</v>
      </c>
      <c r="C35" s="16" t="n">
        <f aca="false">ROUND(IF(A35&lt;Assumptions!B100,0,IF(A35&lt;=8,Assumptions!B103,IF(A35&lt;=12,Assumptions!B104,IF(A35&lt;=18,Assumptions!B105,IF(A35&lt;=24,Assumptions!B106,Assumptions!B107))))*(1+IF(A35&gt;=Assumptions!B101,Assumptions!B109,0))*Assumptions!B111),0)</f>
        <v>540</v>
      </c>
      <c r="D35" s="16" t="n">
        <f aca="false">ROUND(ROUND(Assumptions!B119*(1+Assumptions!B120)^6*(1+Assumptions!B121)^6*(1+Assumptions!B122)^(A35-12),0)*Assumptions!B123,0)</f>
        <v>35</v>
      </c>
      <c r="E35" s="16" t="n">
        <f aca="false">B35+C35+D35</f>
        <v>3014</v>
      </c>
      <c r="F35" s="16" t="n">
        <f aca="false">ROUND(E35*Assumptions!B22,0)</f>
        <v>5</v>
      </c>
      <c r="G35" s="16" t="n">
        <f aca="false">ROUND(H34*Assumptions!B50,0)</f>
        <v>3</v>
      </c>
      <c r="H35" s="16" t="n">
        <f aca="false">H34+F35-G35</f>
        <v>36</v>
      </c>
      <c r="I35" s="17" t="n">
        <f aca="false">ROUND(H35*(Assumptions!B15*0.85+Assumptions!B11*0.15),0)</f>
        <v>413</v>
      </c>
      <c r="J35" s="17" t="n">
        <f aca="false">ROUND(E35*Assumptions!B95*Assumptions!B96*Assumptions!B97*Assumptions!B94,0)</f>
        <v>118</v>
      </c>
      <c r="K35" s="17" t="n">
        <f aca="false">ROUND(E35*Assumptions!B57*Assumptions!B58,0)</f>
        <v>1055</v>
      </c>
      <c r="L35" s="17" t="n">
        <f aca="false">ROUND(IF(A35&lt;Assumptions!B113,0,IF(A35&lt;=18,Assumptions!B105,Assumptions!B107)/1000*Assumptions!B115*0.55+IF(A35&gt;=Assumptions!B114,IF(A35&lt;=18,Assumptions!B105,Assumptions!B107)*Assumptions!B109/1000*Assumptions!B116*0.55,0)),0)</f>
        <v>94</v>
      </c>
      <c r="M35" s="17" t="n">
        <f aca="false">I35+J35+K35+L35</f>
        <v>1680</v>
      </c>
      <c r="N35" s="17" t="n">
        <f aca="false">ROUND(H35*Assumptions!B62*Assumptions!B61,0)+Assumptions!B63+IF(H35&gt;Assumptions!B64,45,0)+Assumptions!B65+Assumptions!B66+Assumptions!B67+Assumptions!B68+Assumptions!B69/12+IF(A35&gt;=3,Assumptions!B72,0)+ROUND(I35*Assumptions!B70+H35*Assumptions!B71,0)+0</f>
        <v>215</v>
      </c>
      <c r="O35" s="17" t="n">
        <f aca="false">M35-N35</f>
        <v>1465</v>
      </c>
      <c r="P35" s="17" t="n">
        <f aca="false">IF((Q34+O35)&lt;N35*Assumptions!B89,0,IF((Q34+O35)&lt;N35*6,ROUND(MAX(O35,0)*Assumptions!B90,0),ROUND(MAX(O35,0)*Assumptions!B91,0)))</f>
        <v>733</v>
      </c>
      <c r="Q35" s="17" t="n">
        <f aca="false">Q34+O35-P35</f>
        <v>7794</v>
      </c>
    </row>
    <row r="36" customFormat="false" ht="15" hidden="false" customHeight="true" outlineLevel="0" collapsed="false">
      <c r="A36" s="5" t="n">
        <v>33</v>
      </c>
      <c r="B36" s="13" t="n">
        <f aca="false">ROUND(B35*(1+Assumptions!B42),0)</f>
        <v>2537</v>
      </c>
      <c r="C36" s="13" t="n">
        <f aca="false">ROUND(IF(A36&lt;Assumptions!B100,0,IF(A36&lt;=8,Assumptions!B103,IF(A36&lt;=12,Assumptions!B104,IF(A36&lt;=18,Assumptions!B105,IF(A36&lt;=24,Assumptions!B106,Assumptions!B107))))*(1+IF(A36&gt;=Assumptions!B101,Assumptions!B109,0))*Assumptions!B111),0)</f>
        <v>540</v>
      </c>
      <c r="D36" s="13" t="n">
        <f aca="false">ROUND(ROUND(Assumptions!B119*(1+Assumptions!B120)^6*(1+Assumptions!B121)^6*(1+Assumptions!B122)^(A36-12),0)*Assumptions!B123,0)</f>
        <v>38</v>
      </c>
      <c r="E36" s="13" t="n">
        <f aca="false">B36+C36+D36</f>
        <v>3115</v>
      </c>
      <c r="F36" s="13" t="n">
        <f aca="false">ROUND(E36*Assumptions!B22,0)</f>
        <v>5</v>
      </c>
      <c r="G36" s="13" t="n">
        <f aca="false">ROUND(H35*Assumptions!B50,0)</f>
        <v>3</v>
      </c>
      <c r="H36" s="13" t="n">
        <f aca="false">H35+F36-G36</f>
        <v>38</v>
      </c>
      <c r="I36" s="14" t="n">
        <f aca="false">ROUND(H36*(Assumptions!B15*0.85+Assumptions!B11*0.15),0)</f>
        <v>436</v>
      </c>
      <c r="J36" s="14" t="n">
        <f aca="false">ROUND(E36*Assumptions!B95*Assumptions!B96*Assumptions!B97*Assumptions!B94,0)</f>
        <v>121</v>
      </c>
      <c r="K36" s="14" t="n">
        <f aca="false">ROUND(E36*Assumptions!B57*Assumptions!B58,0)</f>
        <v>1090</v>
      </c>
      <c r="L36" s="14" t="n">
        <f aca="false">ROUND(IF(A36&lt;Assumptions!B113,0,IF(A36&lt;=18,Assumptions!B105,Assumptions!B107)/1000*Assumptions!B115*0.55+IF(A36&gt;=Assumptions!B114,IF(A36&lt;=18,Assumptions!B105,Assumptions!B107)*Assumptions!B109/1000*Assumptions!B116*0.55,0)),0)</f>
        <v>94</v>
      </c>
      <c r="M36" s="14" t="n">
        <f aca="false">I36+J36+K36+L36</f>
        <v>1741</v>
      </c>
      <c r="N36" s="14" t="n">
        <f aca="false">ROUND(H36*Assumptions!B62*Assumptions!B61,0)+Assumptions!B63+IF(H36&gt;Assumptions!B64,45,0)+Assumptions!B65+Assumptions!B66+Assumptions!B67+Assumptions!B68+Assumptions!B69/12+IF(A36&gt;=3,Assumptions!B72,0)+ROUND(I36*Assumptions!B70+H36*Assumptions!B71,0)+0</f>
        <v>217</v>
      </c>
      <c r="O36" s="14" t="n">
        <f aca="false">M36-N36</f>
        <v>1524</v>
      </c>
      <c r="P36" s="14" t="n">
        <f aca="false">IF((Q35+O36)&lt;N36*Assumptions!B89,0,IF((Q35+O36)&lt;N36*6,ROUND(MAX(O36,0)*Assumptions!B90,0),ROUND(MAX(O36,0)*Assumptions!B91,0)))</f>
        <v>762</v>
      </c>
      <c r="Q36" s="14" t="n">
        <f aca="false">Q35+O36-P36</f>
        <v>8556</v>
      </c>
    </row>
    <row r="37" customFormat="false" ht="15" hidden="false" customHeight="true" outlineLevel="0" collapsed="false">
      <c r="A37" s="15" t="n">
        <v>34</v>
      </c>
      <c r="B37" s="16" t="n">
        <f aca="false">ROUND(B36*(1+Assumptions!B42),0)</f>
        <v>2638</v>
      </c>
      <c r="C37" s="16" t="n">
        <f aca="false">ROUND(IF(A37&lt;Assumptions!B100,0,IF(A37&lt;=8,Assumptions!B103,IF(A37&lt;=12,Assumptions!B104,IF(A37&lt;=18,Assumptions!B105,IF(A37&lt;=24,Assumptions!B106,Assumptions!B107))))*(1+IF(A37&gt;=Assumptions!B101,Assumptions!B109,0))*Assumptions!B111),0)</f>
        <v>540</v>
      </c>
      <c r="D37" s="16" t="n">
        <f aca="false">ROUND(ROUND(Assumptions!B119*(1+Assumptions!B120)^6*(1+Assumptions!B121)^6*(1+Assumptions!B122)^(A37-12),0)*Assumptions!B123,0)</f>
        <v>42</v>
      </c>
      <c r="E37" s="16" t="n">
        <f aca="false">B37+C37+D37</f>
        <v>3220</v>
      </c>
      <c r="F37" s="16" t="n">
        <f aca="false">ROUND(E37*Assumptions!B22,0)</f>
        <v>5</v>
      </c>
      <c r="G37" s="16" t="n">
        <f aca="false">ROUND(H36*Assumptions!B50,0)</f>
        <v>3</v>
      </c>
      <c r="H37" s="16" t="n">
        <f aca="false">H36+F37-G37</f>
        <v>40</v>
      </c>
      <c r="I37" s="17" t="n">
        <f aca="false">ROUND(H37*(Assumptions!B15*0.85+Assumptions!B11*0.15),0)</f>
        <v>459</v>
      </c>
      <c r="J37" s="17" t="n">
        <f aca="false">ROUND(E37*Assumptions!B95*Assumptions!B96*Assumptions!B97*Assumptions!B94,0)</f>
        <v>126</v>
      </c>
      <c r="K37" s="17" t="n">
        <f aca="false">ROUND(E37*Assumptions!B57*Assumptions!B58,0)</f>
        <v>1127</v>
      </c>
      <c r="L37" s="17" t="n">
        <f aca="false">ROUND(IF(A37&lt;Assumptions!B113,0,IF(A37&lt;=18,Assumptions!B105,Assumptions!B107)/1000*Assumptions!B115*0.55+IF(A37&gt;=Assumptions!B114,IF(A37&lt;=18,Assumptions!B105,Assumptions!B107)*Assumptions!B109/1000*Assumptions!B116*0.55,0)),0)</f>
        <v>94</v>
      </c>
      <c r="M37" s="17" t="n">
        <f aca="false">I37+J37+K37+L37</f>
        <v>1806</v>
      </c>
      <c r="N37" s="17" t="n">
        <f aca="false">ROUND(H37*Assumptions!B62*Assumptions!B61,0)+Assumptions!B63+IF(H37&gt;Assumptions!B64,45,0)+Assumptions!B65+Assumptions!B66+Assumptions!B67+Assumptions!B68+Assumptions!B69/12+IF(A37&gt;=3,Assumptions!B72,0)+ROUND(I37*Assumptions!B70+H37*Assumptions!B71,0)+0</f>
        <v>218</v>
      </c>
      <c r="O37" s="17" t="n">
        <f aca="false">M37-N37</f>
        <v>1588</v>
      </c>
      <c r="P37" s="17" t="n">
        <f aca="false">IF((Q36+O37)&lt;N37*Assumptions!B89,0,IF((Q36+O37)&lt;N37*6,ROUND(MAX(O37,0)*Assumptions!B90,0),ROUND(MAX(O37,0)*Assumptions!B91,0)))</f>
        <v>794</v>
      </c>
      <c r="Q37" s="17" t="n">
        <f aca="false">Q36+O37-P37</f>
        <v>9350</v>
      </c>
    </row>
    <row r="38" customFormat="false" ht="15" hidden="false" customHeight="true" outlineLevel="0" collapsed="false">
      <c r="A38" s="5" t="n">
        <v>35</v>
      </c>
      <c r="B38" s="13" t="n">
        <f aca="false">ROUND(B37*(1+Assumptions!B42),0)</f>
        <v>2744</v>
      </c>
      <c r="C38" s="13" t="n">
        <f aca="false">ROUND(IF(A38&lt;Assumptions!B100,0,IF(A38&lt;=8,Assumptions!B103,IF(A38&lt;=12,Assumptions!B104,IF(A38&lt;=18,Assumptions!B105,IF(A38&lt;=24,Assumptions!B106,Assumptions!B107))))*(1+IF(A38&gt;=Assumptions!B101,Assumptions!B109,0))*Assumptions!B111),0)</f>
        <v>540</v>
      </c>
      <c r="D38" s="13" t="n">
        <f aca="false">ROUND(ROUND(Assumptions!B119*(1+Assumptions!B120)^6*(1+Assumptions!B121)^6*(1+Assumptions!B122)^(A38-12),0)*Assumptions!B123,0)</f>
        <v>46</v>
      </c>
      <c r="E38" s="13" t="n">
        <f aca="false">B38+C38+D38</f>
        <v>3330</v>
      </c>
      <c r="F38" s="13" t="n">
        <f aca="false">ROUND(E38*Assumptions!B22,0)</f>
        <v>5</v>
      </c>
      <c r="G38" s="13" t="n">
        <f aca="false">ROUND(H37*Assumptions!B50,0)</f>
        <v>3</v>
      </c>
      <c r="H38" s="13" t="n">
        <f aca="false">H37+F38-G38</f>
        <v>42</v>
      </c>
      <c r="I38" s="14" t="n">
        <f aca="false">ROUND(H38*(Assumptions!B15*0.85+Assumptions!B11*0.15),0)</f>
        <v>482</v>
      </c>
      <c r="J38" s="14" t="n">
        <f aca="false">ROUND(E38*Assumptions!B95*Assumptions!B96*Assumptions!B97*Assumptions!B94,0)</f>
        <v>130</v>
      </c>
      <c r="K38" s="14" t="n">
        <f aca="false">ROUND(E38*Assumptions!B57*Assumptions!B58,0)</f>
        <v>1166</v>
      </c>
      <c r="L38" s="14" t="n">
        <f aca="false">ROUND(IF(A38&lt;Assumptions!B113,0,IF(A38&lt;=18,Assumptions!B105,Assumptions!B107)/1000*Assumptions!B115*0.55+IF(A38&gt;=Assumptions!B114,IF(A38&lt;=18,Assumptions!B105,Assumptions!B107)*Assumptions!B109/1000*Assumptions!B116*0.55,0)),0)</f>
        <v>94</v>
      </c>
      <c r="M38" s="14" t="n">
        <f aca="false">I38+J38+K38+L38</f>
        <v>1872</v>
      </c>
      <c r="N38" s="14" t="n">
        <f aca="false">ROUND(H38*Assumptions!B62*Assumptions!B61,0)+Assumptions!B63+IF(H38&gt;Assumptions!B64,45,0)+Assumptions!B65+Assumptions!B66+Assumptions!B67+Assumptions!B68+Assumptions!B69/12+IF(A38&gt;=3,Assumptions!B72,0)+ROUND(I38*Assumptions!B70+H38*Assumptions!B71,0)+0</f>
        <v>221</v>
      </c>
      <c r="O38" s="14" t="n">
        <f aca="false">M38-N38</f>
        <v>1651</v>
      </c>
      <c r="P38" s="14" t="n">
        <f aca="false">IF((Q37+O38)&lt;N38*Assumptions!B89,0,IF((Q37+O38)&lt;N38*6,ROUND(MAX(O38,0)*Assumptions!B90,0),ROUND(MAX(O38,0)*Assumptions!B91,0)))</f>
        <v>826</v>
      </c>
      <c r="Q38" s="14" t="n">
        <f aca="false">Q37+O38-P38</f>
        <v>10175</v>
      </c>
    </row>
    <row r="39" customFormat="false" ht="15" hidden="false" customHeight="true" outlineLevel="0" collapsed="false">
      <c r="A39" s="15" t="n">
        <v>36</v>
      </c>
      <c r="B39" s="16" t="n">
        <f aca="false">ROUND(B38*(1+Assumptions!B42),0)</f>
        <v>2854</v>
      </c>
      <c r="C39" s="16" t="n">
        <f aca="false">ROUND(IF(A39&lt;Assumptions!B100,0,IF(A39&lt;=8,Assumptions!B103,IF(A39&lt;=12,Assumptions!B104,IF(A39&lt;=18,Assumptions!B105,IF(A39&lt;=24,Assumptions!B106,Assumptions!B107))))*(1+IF(A39&gt;=Assumptions!B101,Assumptions!B109,0))*Assumptions!B111),0)</f>
        <v>540</v>
      </c>
      <c r="D39" s="16" t="n">
        <f aca="false">ROUND(ROUND(Assumptions!B119*(1+Assumptions!B120)^6*(1+Assumptions!B121)^6*(1+Assumptions!B122)^(A39-12),0)*Assumptions!B123,0)</f>
        <v>51</v>
      </c>
      <c r="E39" s="16" t="n">
        <f aca="false">B39+C39+D39</f>
        <v>3445</v>
      </c>
      <c r="F39" s="16" t="n">
        <f aca="false">ROUND(E39*Assumptions!B22,0)</f>
        <v>5</v>
      </c>
      <c r="G39" s="16" t="n">
        <f aca="false">ROUND(H38*Assumptions!B50,0)</f>
        <v>3</v>
      </c>
      <c r="H39" s="16" t="n">
        <f aca="false">H38+F39-G39</f>
        <v>44</v>
      </c>
      <c r="I39" s="17" t="n">
        <f aca="false">ROUND(H39*(Assumptions!B15*0.85+Assumptions!B11*0.15),0)</f>
        <v>505</v>
      </c>
      <c r="J39" s="17" t="n">
        <f aca="false">ROUND(E39*Assumptions!B95*Assumptions!B96*Assumptions!B97*Assumptions!B94,0)</f>
        <v>134</v>
      </c>
      <c r="K39" s="17" t="n">
        <f aca="false">ROUND(E39*Assumptions!B57*Assumptions!B58,0)</f>
        <v>1206</v>
      </c>
      <c r="L39" s="17" t="n">
        <f aca="false">ROUND(IF(A39&lt;Assumptions!B113,0,IF(A39&lt;=18,Assumptions!B105,Assumptions!B107)/1000*Assumptions!B115*0.55+IF(A39&gt;=Assumptions!B114,IF(A39&lt;=18,Assumptions!B105,Assumptions!B107)*Assumptions!B109/1000*Assumptions!B116*0.55,0)),0)</f>
        <v>94</v>
      </c>
      <c r="M39" s="17" t="n">
        <f aca="false">I39+J39+K39+L39</f>
        <v>1939</v>
      </c>
      <c r="N39" s="17" t="n">
        <f aca="false">ROUND(H39*Assumptions!B62*Assumptions!B61,0)+Assumptions!B63+IF(H39&gt;Assumptions!B64,45,0)+Assumptions!B65+Assumptions!B66+Assumptions!B67+Assumptions!B68+Assumptions!B69/12+IF(A39&gt;=3,Assumptions!B72,0)+ROUND(I39*Assumptions!B70+H39*Assumptions!B71,0)+0</f>
        <v>222</v>
      </c>
      <c r="O39" s="17" t="n">
        <f aca="false">M39-N39</f>
        <v>1717</v>
      </c>
      <c r="P39" s="17" t="n">
        <f aca="false">IF((Q38+O39)&lt;N39*Assumptions!B89,0,IF((Q38+O39)&lt;N39*6,ROUND(MAX(O39,0)*Assumptions!B90,0),ROUND(MAX(O39,0)*Assumptions!B91,0)))</f>
        <v>859</v>
      </c>
      <c r="Q39" s="17" t="n">
        <f aca="false">Q38+O39-P39</f>
        <v>11033</v>
      </c>
    </row>
    <row r="40" customFormat="false" ht="15" hidden="false" customHeight="true" outlineLevel="0" collapsed="false">
      <c r="A40" s="18" t="s">
        <v>234</v>
      </c>
      <c r="I40" s="19" t="n">
        <f aca="false">SUM(I4:I39)</f>
        <v>7149</v>
      </c>
      <c r="J40" s="19" t="n">
        <f aca="false">SUM(J4:J39)</f>
        <v>2345</v>
      </c>
      <c r="K40" s="19" t="n">
        <f aca="false">SUM(K4:K39)</f>
        <v>20449</v>
      </c>
      <c r="L40" s="19" t="n">
        <f aca="false">SUM(L4:L39)</f>
        <v>1858</v>
      </c>
      <c r="M40" s="19" t="n">
        <f aca="false">SUM(M4:M39)</f>
        <v>31801</v>
      </c>
      <c r="N40" s="19" t="n">
        <f aca="false">SUM(N4:N39)</f>
        <v>10243</v>
      </c>
      <c r="O40" s="19" t="n">
        <f aca="false">SUM(O4:O39)</f>
        <v>21558</v>
      </c>
      <c r="P40" s="19" t="n">
        <f aca="false">SUM(P4:P39)</f>
        <v>10525</v>
      </c>
    </row>
    <row r="41" customFormat="false" ht="15" hidden="false" customHeight="true" outlineLevel="0" collapsed="false">
      <c r="A41" s="18" t="s">
        <v>235</v>
      </c>
      <c r="B41" s="20" t="n">
        <f aca="false">B39</f>
        <v>2854</v>
      </c>
      <c r="C41" s="20" t="n">
        <f aca="false">C39</f>
        <v>540</v>
      </c>
      <c r="D41" s="20" t="n">
        <f aca="false">D39</f>
        <v>51</v>
      </c>
      <c r="E41" s="20" t="n">
        <f aca="false">E39</f>
        <v>3445</v>
      </c>
      <c r="H41" s="20" t="n">
        <f aca="false">H39</f>
        <v>44</v>
      </c>
      <c r="I41" s="19" t="n">
        <f aca="false">I39</f>
        <v>505</v>
      </c>
      <c r="M41" s="19" t="n">
        <f aca="false">M39</f>
        <v>1939</v>
      </c>
      <c r="P41" s="19" t="n">
        <f aca="false">P39</f>
        <v>859</v>
      </c>
      <c r="Q41" s="19" t="n">
        <f aca="false">Q39</f>
        <v>11033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17" min="2" style="1" width="13"/>
  </cols>
  <sheetData>
    <row r="1" customFormat="false" ht="17.25" hidden="false" customHeight="true" outlineLevel="0" collapsed="false">
      <c r="A1" s="2" t="s">
        <v>236</v>
      </c>
    </row>
    <row r="3" customFormat="false" ht="23.25" hidden="false" customHeight="true" outlineLevel="0" collapsed="false">
      <c r="A3" s="9" t="s">
        <v>217</v>
      </c>
      <c r="B3" s="9" t="s">
        <v>218</v>
      </c>
      <c r="C3" s="9" t="s">
        <v>219</v>
      </c>
      <c r="D3" s="9" t="s">
        <v>220</v>
      </c>
      <c r="E3" s="9" t="s">
        <v>221</v>
      </c>
      <c r="F3" s="9" t="s">
        <v>222</v>
      </c>
      <c r="G3" s="9" t="s">
        <v>223</v>
      </c>
      <c r="H3" s="9" t="s">
        <v>224</v>
      </c>
      <c r="I3" s="9" t="s">
        <v>225</v>
      </c>
      <c r="J3" s="9" t="s">
        <v>226</v>
      </c>
      <c r="K3" s="9" t="s">
        <v>227</v>
      </c>
      <c r="L3" s="9" t="s">
        <v>228</v>
      </c>
      <c r="M3" s="9" t="s">
        <v>229</v>
      </c>
      <c r="N3" s="9" t="s">
        <v>230</v>
      </c>
      <c r="O3" s="9" t="s">
        <v>231</v>
      </c>
      <c r="P3" s="9" t="s">
        <v>232</v>
      </c>
      <c r="Q3" s="9" t="s">
        <v>233</v>
      </c>
    </row>
    <row r="4" customFormat="false" ht="15" hidden="false" customHeight="true" outlineLevel="0" collapsed="false">
      <c r="A4" s="5" t="n">
        <v>1</v>
      </c>
      <c r="B4" s="10" t="n">
        <f aca="false">Assumptions!B31</f>
        <v>500</v>
      </c>
      <c r="C4" s="13" t="n">
        <f aca="false">ROUND(IF(A4&lt;Assumptions!B100,0,IF(A4&lt;=8,Assumptions!B103,IF(A4&lt;=12,Assumptions!B104,IF(A4&lt;=18,Assumptions!B105,IF(A4&lt;=24,Assumptions!B106,Assumptions!B107))))*(1+IF(A4&gt;=Assumptions!B101,Assumptions!B109,0))*Assumptions!B111),0)</f>
        <v>0</v>
      </c>
      <c r="D4" s="13" t="n">
        <f aca="false">ROUND(Assumptions!B119*Assumptions!B123,0)</f>
        <v>1</v>
      </c>
      <c r="E4" s="13" t="n">
        <f aca="false">B4+C4+D4</f>
        <v>501</v>
      </c>
      <c r="F4" s="13" t="n">
        <f aca="false">ROUND(E4*Assumptions!B23,0)</f>
        <v>1</v>
      </c>
      <c r="G4" s="13" t="n">
        <v>0</v>
      </c>
      <c r="H4" s="13" t="n">
        <f aca="false">F4</f>
        <v>1</v>
      </c>
      <c r="I4" s="14" t="n">
        <f aca="false">ROUND(H4*Assumptions!B14,0)</f>
        <v>8</v>
      </c>
      <c r="J4" s="14" t="n">
        <f aca="false">ROUND(E4*Assumptions!B95*Assumptions!B96*Assumptions!B97*Assumptions!B94,0)</f>
        <v>20</v>
      </c>
      <c r="K4" s="14" t="n">
        <v>0</v>
      </c>
      <c r="L4" s="14" t="n">
        <f aca="false">ROUND(IF(A4&lt;Assumptions!B113,0,IF(A4&lt;=18,Assumptions!B105,Assumptions!B107)/1000*Assumptions!B115*0.55+IF(A4&gt;=Assumptions!B114,IF(A4&lt;=18,Assumptions!B105,Assumptions!B107)*Assumptions!B109/1000*Assumptions!B116*0.55,0)),0)</f>
        <v>0</v>
      </c>
      <c r="M4" s="14" t="n">
        <f aca="false">I4+J4+K4+L4</f>
        <v>28</v>
      </c>
      <c r="N4" s="14" t="n">
        <f aca="false">ROUND(H4*Assumptions!B62*Assumptions!B61,0)+Assumptions!B63+IF(H4&gt;Assumptions!B64,45,0)+Assumptions!B65+Assumptions!B66+Assumptions!B67+Assumptions!B68+Assumptions!B69/12+IF(A4&gt;=3,Assumptions!B72,0)+ROUND(I4*Assumptions!B70+H4*Assumptions!B71,0)+Assumptions!B75+Assumptions!B76+Assumptions!B77</f>
        <v>3367</v>
      </c>
      <c r="O4" s="14" t="n">
        <f aca="false">M4-N4</f>
        <v>-3339</v>
      </c>
      <c r="P4" s="14" t="n">
        <f aca="false">IF(O4&lt;N4*Assumptions!B89,0,IF(O4&lt;N4*6,ROUND(MAX(O4,0)*Assumptions!B90,0),ROUND(MAX(O4,0)*Assumptions!B91,0)))</f>
        <v>0</v>
      </c>
      <c r="Q4" s="14" t="n">
        <f aca="false">O4-P4</f>
        <v>-3339</v>
      </c>
    </row>
    <row r="5" customFormat="false" ht="15" hidden="false" customHeight="true" outlineLevel="0" collapsed="false">
      <c r="A5" s="15" t="n">
        <v>2</v>
      </c>
      <c r="B5" s="16" t="n">
        <f aca="false">ROUND(B4*(1+Assumptions!B35),0)</f>
        <v>570</v>
      </c>
      <c r="C5" s="16" t="n">
        <f aca="false">ROUND(IF(A5&lt;Assumptions!B100,0,IF(A5&lt;=8,Assumptions!B103,IF(A5&lt;=12,Assumptions!B104,IF(A5&lt;=18,Assumptions!B105,IF(A5&lt;=24,Assumptions!B106,Assumptions!B107))))*(1+IF(A5&gt;=Assumptions!B101,Assumptions!B109,0))*Assumptions!B111),0)</f>
        <v>0</v>
      </c>
      <c r="D5" s="16" t="n">
        <f aca="false">ROUND(ROUND(Assumptions!B119*(1+Assumptions!B120)^(A5-1),0)*Assumptions!B123,0)</f>
        <v>1</v>
      </c>
      <c r="E5" s="16" t="n">
        <f aca="false">B5+C5+D5</f>
        <v>571</v>
      </c>
      <c r="F5" s="16" t="n">
        <f aca="false">ROUND(E5*Assumptions!B23,0)</f>
        <v>1</v>
      </c>
      <c r="G5" s="16" t="n">
        <f aca="false">ROUND(H4*Assumptions!B51,0)</f>
        <v>0</v>
      </c>
      <c r="H5" s="16" t="n">
        <f aca="false">H4+F5-G5</f>
        <v>2</v>
      </c>
      <c r="I5" s="17" t="n">
        <f aca="false">ROUND(H5*Assumptions!B14,0)</f>
        <v>16</v>
      </c>
      <c r="J5" s="17" t="n">
        <f aca="false">ROUND(E5*Assumptions!B95*Assumptions!B96*Assumptions!B97*Assumptions!B94,0)</f>
        <v>22</v>
      </c>
      <c r="K5" s="17" t="n">
        <v>0</v>
      </c>
      <c r="L5" s="17" t="n">
        <f aca="false">ROUND(IF(A5&lt;Assumptions!B113,0,IF(A5&lt;=18,Assumptions!B105,Assumptions!B107)/1000*Assumptions!B115*0.55+IF(A5&gt;=Assumptions!B114,IF(A5&lt;=18,Assumptions!B105,Assumptions!B107)*Assumptions!B109/1000*Assumptions!B116*0.55,0)),0)</f>
        <v>0</v>
      </c>
      <c r="M5" s="17" t="n">
        <f aca="false">I5+J5+K5+L5</f>
        <v>38</v>
      </c>
      <c r="N5" s="17" t="n">
        <f aca="false">ROUND(H5*Assumptions!B62*Assumptions!B61,0)+Assumptions!B63+IF(H5&gt;Assumptions!B64,45,0)+Assumptions!B65+Assumptions!B66+Assumptions!B67+Assumptions!B68+Assumptions!B69/12+IF(A5&gt;=3,Assumptions!B72,0)+ROUND(I5*Assumptions!B70+H5*Assumptions!B71,0)+0</f>
        <v>118</v>
      </c>
      <c r="O5" s="17" t="n">
        <f aca="false">M5-N5</f>
        <v>-80</v>
      </c>
      <c r="P5" s="17" t="n">
        <f aca="false">IF((Q4+O5)&lt;N5*Assumptions!B89,0,IF((Q4+O5)&lt;N5*6,ROUND(MAX(O5,0)*Assumptions!B90,0),ROUND(MAX(O5,0)*Assumptions!B91,0)))</f>
        <v>0</v>
      </c>
      <c r="Q5" s="17" t="n">
        <f aca="false">Q4+O5-P5</f>
        <v>-3419</v>
      </c>
    </row>
    <row r="6" customFormat="false" ht="15" hidden="false" customHeight="true" outlineLevel="0" collapsed="false">
      <c r="A6" s="5" t="n">
        <v>3</v>
      </c>
      <c r="B6" s="13" t="n">
        <f aca="false">ROUND(B5*(1+Assumptions!B35)*Assumptions!B46,0)</f>
        <v>747</v>
      </c>
      <c r="C6" s="13" t="n">
        <f aca="false">ROUND(IF(A6&lt;Assumptions!B100,0,IF(A6&lt;=8,Assumptions!B103,IF(A6&lt;=12,Assumptions!B104,IF(A6&lt;=18,Assumptions!B105,IF(A6&lt;=24,Assumptions!B106,Assumptions!B107))))*(1+IF(A6&gt;=Assumptions!B101,Assumptions!B109,0))*Assumptions!B111),0)</f>
        <v>10</v>
      </c>
      <c r="D6" s="13" t="n">
        <f aca="false">ROUND(ROUND(Assumptions!B119*(1+Assumptions!B120)^(A6-1),0)*Assumptions!B123,0)</f>
        <v>1</v>
      </c>
      <c r="E6" s="13" t="n">
        <f aca="false">B6+C6+D6</f>
        <v>758</v>
      </c>
      <c r="F6" s="13" t="n">
        <f aca="false">ROUND(E6*Assumptions!B23,0)</f>
        <v>2</v>
      </c>
      <c r="G6" s="13" t="n">
        <f aca="false">ROUND(H5*Assumptions!B51,0)</f>
        <v>0</v>
      </c>
      <c r="H6" s="13" t="n">
        <f aca="false">H5+F6-G6</f>
        <v>4</v>
      </c>
      <c r="I6" s="14" t="n">
        <f aca="false">ROUND(H6*Assumptions!B14,0)</f>
        <v>32</v>
      </c>
      <c r="J6" s="14" t="n">
        <f aca="false">ROUND(E6*Assumptions!B95*Assumptions!B96*Assumptions!B97*Assumptions!B94,0)</f>
        <v>30</v>
      </c>
      <c r="K6" s="14" t="n">
        <v>0</v>
      </c>
      <c r="L6" s="14" t="n">
        <f aca="false">ROUND(IF(A6&lt;Assumptions!B113,0,IF(A6&lt;=18,Assumptions!B105,Assumptions!B107)/1000*Assumptions!B115*0.55+IF(A6&gt;=Assumptions!B114,IF(A6&lt;=18,Assumptions!B105,Assumptions!B107)*Assumptions!B109/1000*Assumptions!B116*0.55,0)),0)</f>
        <v>0</v>
      </c>
      <c r="M6" s="14" t="n">
        <f aca="false">I6+J6+K6+L6</f>
        <v>62</v>
      </c>
      <c r="N6" s="14" t="n">
        <f aca="false">ROUND(H6*Assumptions!B62*Assumptions!B61,0)+Assumptions!B63+IF(H6&gt;Assumptions!B64,45,0)+Assumptions!B65+Assumptions!B66+Assumptions!B67+Assumptions!B68+Assumptions!B69/12+IF(A6&gt;=3,Assumptions!B72,0)+ROUND(I6*Assumptions!B70+H6*Assumptions!B71,0)+0</f>
        <v>185</v>
      </c>
      <c r="O6" s="14" t="n">
        <f aca="false">M6-N6</f>
        <v>-123</v>
      </c>
      <c r="P6" s="14" t="n">
        <f aca="false">IF((Q5+O6)&lt;N6*Assumptions!B89,0,IF((Q5+O6)&lt;N6*6,ROUND(MAX(O6,0)*Assumptions!B90,0),ROUND(MAX(O6,0)*Assumptions!B91,0)))</f>
        <v>0</v>
      </c>
      <c r="Q6" s="14" t="n">
        <f aca="false">Q5+O6-P6</f>
        <v>-3542</v>
      </c>
    </row>
    <row r="7" customFormat="false" ht="15" hidden="false" customHeight="true" outlineLevel="0" collapsed="false">
      <c r="A7" s="15" t="n">
        <v>4</v>
      </c>
      <c r="B7" s="16" t="n">
        <f aca="false">ROUND(B6*(1+Assumptions!B35),0)</f>
        <v>852</v>
      </c>
      <c r="C7" s="16" t="n">
        <f aca="false">ROUND(IF(A7&lt;Assumptions!B100,0,IF(A7&lt;=8,Assumptions!B103,IF(A7&lt;=12,Assumptions!B104,IF(A7&lt;=18,Assumptions!B105,IF(A7&lt;=24,Assumptions!B106,Assumptions!B107))))*(1+IF(A7&gt;=Assumptions!B101,Assumptions!B109,0))*Assumptions!B111),0)</f>
        <v>10</v>
      </c>
      <c r="D7" s="16" t="n">
        <f aca="false">ROUND(ROUND(Assumptions!B119*(1+Assumptions!B120)^(A7-1),0)*Assumptions!B123,0)</f>
        <v>1</v>
      </c>
      <c r="E7" s="16" t="n">
        <f aca="false">B7+C7+D7</f>
        <v>863</v>
      </c>
      <c r="F7" s="16" t="n">
        <f aca="false">ROUND(E7*Assumptions!B23,0)</f>
        <v>2</v>
      </c>
      <c r="G7" s="16" t="n">
        <f aca="false">ROUND(H6*Assumptions!B51,0)</f>
        <v>0</v>
      </c>
      <c r="H7" s="16" t="n">
        <f aca="false">H6+F7-G7</f>
        <v>6</v>
      </c>
      <c r="I7" s="17" t="n">
        <f aca="false">ROUND(H7*Assumptions!B14,0)</f>
        <v>48</v>
      </c>
      <c r="J7" s="17" t="n">
        <f aca="false">ROUND(E7*Assumptions!B95*Assumptions!B96*Assumptions!B97*Assumptions!B94,0)</f>
        <v>34</v>
      </c>
      <c r="K7" s="17" t="n">
        <v>0</v>
      </c>
      <c r="L7" s="17" t="n">
        <f aca="false">ROUND(IF(A7&lt;Assumptions!B113,0,IF(A7&lt;=18,Assumptions!B105,Assumptions!B107)/1000*Assumptions!B115*0.55+IF(A7&gt;=Assumptions!B114,IF(A7&lt;=18,Assumptions!B105,Assumptions!B107)*Assumptions!B109/1000*Assumptions!B116*0.55,0)),0)</f>
        <v>0</v>
      </c>
      <c r="M7" s="17" t="n">
        <f aca="false">I7+J7+K7+L7</f>
        <v>82</v>
      </c>
      <c r="N7" s="17" t="n">
        <f aca="false">ROUND(H7*Assumptions!B62*Assumptions!B61,0)+Assumptions!B63+IF(H7&gt;Assumptions!B64,45,0)+Assumptions!B65+Assumptions!B66+Assumptions!B67+Assumptions!B68+Assumptions!B69/12+IF(A7&gt;=3,Assumptions!B72,0)+ROUND(I7*Assumptions!B70+H7*Assumptions!B71,0)+0</f>
        <v>187</v>
      </c>
      <c r="O7" s="17" t="n">
        <f aca="false">M7-N7</f>
        <v>-105</v>
      </c>
      <c r="P7" s="17" t="n">
        <f aca="false">IF((Q6+O7)&lt;N7*Assumptions!B89,0,IF((Q6+O7)&lt;N7*6,ROUND(MAX(O7,0)*Assumptions!B90,0),ROUND(MAX(O7,0)*Assumptions!B91,0)))</f>
        <v>0</v>
      </c>
      <c r="Q7" s="17" t="n">
        <f aca="false">Q6+O7-P7</f>
        <v>-3647</v>
      </c>
    </row>
    <row r="8" customFormat="false" ht="15" hidden="false" customHeight="true" outlineLevel="0" collapsed="false">
      <c r="A8" s="5" t="n">
        <v>5</v>
      </c>
      <c r="B8" s="13" t="n">
        <f aca="false">ROUND(B7*(1+Assumptions!B35),0)</f>
        <v>971</v>
      </c>
      <c r="C8" s="13" t="n">
        <f aca="false">ROUND(IF(A8&lt;Assumptions!B100,0,IF(A8&lt;=8,Assumptions!B103,IF(A8&lt;=12,Assumptions!B104,IF(A8&lt;=18,Assumptions!B105,IF(A8&lt;=24,Assumptions!B106,Assumptions!B107))))*(1+IF(A8&gt;=Assumptions!B101,Assumptions!B109,0))*Assumptions!B111),0)</f>
        <v>10</v>
      </c>
      <c r="D8" s="13" t="n">
        <f aca="false">ROUND(ROUND(Assumptions!B119*(1+Assumptions!B120)^(A8-1),0)*Assumptions!B123,0)</f>
        <v>2</v>
      </c>
      <c r="E8" s="13" t="n">
        <f aca="false">B8+C8+D8</f>
        <v>983</v>
      </c>
      <c r="F8" s="13" t="n">
        <f aca="false">ROUND(E8*Assumptions!B23,0)</f>
        <v>2</v>
      </c>
      <c r="G8" s="13" t="n">
        <f aca="false">ROUND(H7*Assumptions!B51,0)</f>
        <v>0</v>
      </c>
      <c r="H8" s="13" t="n">
        <f aca="false">H7+F8-G8</f>
        <v>8</v>
      </c>
      <c r="I8" s="14" t="n">
        <f aca="false">ROUND(H8*Assumptions!B14,0)</f>
        <v>64</v>
      </c>
      <c r="J8" s="14" t="n">
        <f aca="false">ROUND(E8*Assumptions!B95*Assumptions!B96*Assumptions!B97*Assumptions!B94,0)</f>
        <v>38</v>
      </c>
      <c r="K8" s="14" t="n">
        <v>0</v>
      </c>
      <c r="L8" s="14" t="n">
        <f aca="false">ROUND(IF(A8&lt;Assumptions!B113,0,IF(A8&lt;=18,Assumptions!B105,Assumptions!B107)/1000*Assumptions!B115*0.55+IF(A8&gt;=Assumptions!B114,IF(A8&lt;=18,Assumptions!B105,Assumptions!B107)*Assumptions!B109/1000*Assumptions!B116*0.55,0)),0)</f>
        <v>0</v>
      </c>
      <c r="M8" s="14" t="n">
        <f aca="false">I8+J8+K8+L8</f>
        <v>102</v>
      </c>
      <c r="N8" s="14" t="n">
        <f aca="false">ROUND(H8*Assumptions!B62*Assumptions!B61,0)+Assumptions!B63+IF(H8&gt;Assumptions!B64,45,0)+Assumptions!B65+Assumptions!B66+Assumptions!B67+Assumptions!B68+Assumptions!B69/12+IF(A8&gt;=3,Assumptions!B72,0)+ROUND(I8*Assumptions!B70+H8*Assumptions!B71,0)+0</f>
        <v>188</v>
      </c>
      <c r="O8" s="14" t="n">
        <f aca="false">M8-N8</f>
        <v>-86</v>
      </c>
      <c r="P8" s="14" t="n">
        <f aca="false">IF((Q7+O8)&lt;N8*Assumptions!B89,0,IF((Q7+O8)&lt;N8*6,ROUND(MAX(O8,0)*Assumptions!B90,0),ROUND(MAX(O8,0)*Assumptions!B91,0)))</f>
        <v>0</v>
      </c>
      <c r="Q8" s="14" t="n">
        <f aca="false">Q7+O8-P8</f>
        <v>-3733</v>
      </c>
    </row>
    <row r="9" customFormat="false" ht="15" hidden="false" customHeight="true" outlineLevel="0" collapsed="false">
      <c r="A9" s="15" t="n">
        <v>6</v>
      </c>
      <c r="B9" s="16" t="n">
        <f aca="false">ROUND(B8*(1+Assumptions!B35)*Assumptions!B47,0)</f>
        <v>1195</v>
      </c>
      <c r="C9" s="16" t="n">
        <f aca="false">ROUND(IF(A9&lt;Assumptions!B100,0,IF(A9&lt;=8,Assumptions!B103,IF(A9&lt;=12,Assumptions!B104,IF(A9&lt;=18,Assumptions!B105,IF(A9&lt;=24,Assumptions!B106,Assumptions!B107))))*(1+IF(A9&gt;=Assumptions!B101,Assumptions!B109,0))*Assumptions!B111),0)</f>
        <v>10</v>
      </c>
      <c r="D9" s="16" t="n">
        <f aca="false">ROUND(ROUND(Assumptions!B119*(1+Assumptions!B120)^(A9-1),0)*Assumptions!B123,0)</f>
        <v>2</v>
      </c>
      <c r="E9" s="16" t="n">
        <f aca="false">B9+C9+D9</f>
        <v>1207</v>
      </c>
      <c r="F9" s="16" t="n">
        <f aca="false">ROUND(E9*Assumptions!B23,0)</f>
        <v>3</v>
      </c>
      <c r="G9" s="16" t="n">
        <f aca="false">ROUND(H8*Assumptions!B51,0)</f>
        <v>1</v>
      </c>
      <c r="H9" s="16" t="n">
        <f aca="false">H8+F9-G9</f>
        <v>10</v>
      </c>
      <c r="I9" s="17" t="n">
        <f aca="false">ROUND(H9*Assumptions!B14,0)</f>
        <v>80</v>
      </c>
      <c r="J9" s="17" t="n">
        <f aca="false">ROUND(E9*Assumptions!B95*Assumptions!B96*Assumptions!B97*Assumptions!B94,0)</f>
        <v>47</v>
      </c>
      <c r="K9" s="17" t="n">
        <f aca="false">ROUND(E9*Assumptions!B57*Assumptions!B58,0)</f>
        <v>422</v>
      </c>
      <c r="L9" s="17" t="n">
        <f aca="false">ROUND(IF(A9&lt;Assumptions!B113,0,IF(A9&lt;=18,Assumptions!B105,Assumptions!B107)/1000*Assumptions!B115*0.55+IF(A9&gt;=Assumptions!B114,IF(A9&lt;=18,Assumptions!B105,Assumptions!B107)*Assumptions!B109/1000*Assumptions!B116*0.55,0)),0)</f>
        <v>0</v>
      </c>
      <c r="M9" s="17" t="n">
        <f aca="false">I9+J9+K9+L9</f>
        <v>549</v>
      </c>
      <c r="N9" s="17" t="n">
        <f aca="false">ROUND(H9*Assumptions!B62*Assumptions!B61,0)+Assumptions!B63+IF(H9&gt;Assumptions!B64,45,0)+Assumptions!B65+Assumptions!B66+Assumptions!B67+Assumptions!B68+Assumptions!B69/12+IF(A9&gt;=3,Assumptions!B72,0)+ROUND(I9*Assumptions!B70+H9*Assumptions!B71,0)+0</f>
        <v>190</v>
      </c>
      <c r="O9" s="17" t="n">
        <f aca="false">M9-N9</f>
        <v>359</v>
      </c>
      <c r="P9" s="17" t="n">
        <f aca="false">IF((Q8+O9)&lt;N9*Assumptions!B89,0,IF((Q8+O9)&lt;N9*6,ROUND(MAX(O9,0)*Assumptions!B90,0),ROUND(MAX(O9,0)*Assumptions!B91,0)))</f>
        <v>0</v>
      </c>
      <c r="Q9" s="17" t="n">
        <f aca="false">Q8+O9-P9</f>
        <v>-3374</v>
      </c>
    </row>
    <row r="10" customFormat="false" ht="15" hidden="false" customHeight="true" outlineLevel="0" collapsed="false">
      <c r="A10" s="5" t="n">
        <v>7</v>
      </c>
      <c r="B10" s="13" t="n">
        <f aca="false">ROUND(B9*(1+Assumptions!B35),0)</f>
        <v>1362</v>
      </c>
      <c r="C10" s="13" t="n">
        <f aca="false">ROUND(IF(A10&lt;Assumptions!B100,0,IF(A10&lt;=8,Assumptions!B103,IF(A10&lt;=12,Assumptions!B104,IF(A10&lt;=18,Assumptions!B105,IF(A10&lt;=24,Assumptions!B106,Assumptions!B107))))*(1+IF(A10&gt;=Assumptions!B101,Assumptions!B109,0))*Assumptions!B111),0)</f>
        <v>10</v>
      </c>
      <c r="D10" s="13" t="n">
        <f aca="false">ROUND(ROUND(Assumptions!B119*(1+Assumptions!B120)^6*(1+Assumptions!B121)^(A10-6),0)*Assumptions!B123,0)</f>
        <v>3</v>
      </c>
      <c r="E10" s="13" t="n">
        <f aca="false">B10+C10+D10</f>
        <v>1375</v>
      </c>
      <c r="F10" s="13" t="n">
        <f aca="false">ROUND(E10*Assumptions!B23,0)</f>
        <v>3</v>
      </c>
      <c r="G10" s="13" t="n">
        <f aca="false">ROUND(H9*Assumptions!B51,0)</f>
        <v>1</v>
      </c>
      <c r="H10" s="13" t="n">
        <f aca="false">H9+F10-G10</f>
        <v>12</v>
      </c>
      <c r="I10" s="14" t="n">
        <f aca="false">ROUND(H10*Assumptions!B14,0)</f>
        <v>96</v>
      </c>
      <c r="J10" s="14" t="n">
        <f aca="false">ROUND(E10*Assumptions!B95*Assumptions!B96*Assumptions!B97*Assumptions!B94,0)</f>
        <v>54</v>
      </c>
      <c r="K10" s="14" t="n">
        <f aca="false">ROUND(E10*Assumptions!B57*Assumptions!B58,0)</f>
        <v>481</v>
      </c>
      <c r="L10" s="14" t="n">
        <f aca="false">ROUND(IF(A10&lt;Assumptions!B113,0,IF(A10&lt;=18,Assumptions!B105,Assumptions!B107)/1000*Assumptions!B115*0.55+IF(A10&gt;=Assumptions!B114,IF(A10&lt;=18,Assumptions!B105,Assumptions!B107)*Assumptions!B109/1000*Assumptions!B116*0.55,0)),0)</f>
        <v>0</v>
      </c>
      <c r="M10" s="14" t="n">
        <f aca="false">I10+J10+K10+L10</f>
        <v>631</v>
      </c>
      <c r="N10" s="14" t="n">
        <f aca="false">ROUND(H10*Assumptions!B62*Assumptions!B61,0)+Assumptions!B63+IF(H10&gt;Assumptions!B64,45,0)+Assumptions!B65+Assumptions!B66+Assumptions!B67+Assumptions!B68+Assumptions!B69/12+IF(A10&gt;=3,Assumptions!B72,0)+ROUND(I10*Assumptions!B70+H10*Assumptions!B71,0)+0</f>
        <v>191</v>
      </c>
      <c r="O10" s="14" t="n">
        <f aca="false">M10-N10</f>
        <v>440</v>
      </c>
      <c r="P10" s="14" t="n">
        <f aca="false">IF((Q9+O10)&lt;N10*Assumptions!B89,0,IF((Q9+O10)&lt;N10*6,ROUND(MAX(O10,0)*Assumptions!B90,0),ROUND(MAX(O10,0)*Assumptions!B91,0)))</f>
        <v>0</v>
      </c>
      <c r="Q10" s="14" t="n">
        <f aca="false">Q9+O10-P10</f>
        <v>-2934</v>
      </c>
    </row>
    <row r="11" customFormat="false" ht="15" hidden="false" customHeight="true" outlineLevel="0" collapsed="false">
      <c r="A11" s="15" t="n">
        <v>8</v>
      </c>
      <c r="B11" s="16" t="n">
        <f aca="false">ROUND(B10*(1+Assumptions!B35),0)</f>
        <v>1553</v>
      </c>
      <c r="C11" s="16" t="n">
        <f aca="false">ROUND(IF(A11&lt;Assumptions!B100,0,IF(A11&lt;=8,Assumptions!B103,IF(A11&lt;=12,Assumptions!B104,IF(A11&lt;=18,Assumptions!B105,IF(A11&lt;=24,Assumptions!B106,Assumptions!B107))))*(1+IF(A11&gt;=Assumptions!B101,Assumptions!B109,0))*Assumptions!B111),0)</f>
        <v>10</v>
      </c>
      <c r="D11" s="16" t="n">
        <f aca="false">ROUND(ROUND(Assumptions!B119*(1+Assumptions!B120)^6*(1+Assumptions!B121)^(A11-6),0)*Assumptions!B123,0)</f>
        <v>3</v>
      </c>
      <c r="E11" s="16" t="n">
        <f aca="false">B11+C11+D11</f>
        <v>1566</v>
      </c>
      <c r="F11" s="16" t="n">
        <f aca="false">ROUND(E11*Assumptions!B23,0)</f>
        <v>4</v>
      </c>
      <c r="G11" s="16" t="n">
        <f aca="false">ROUND(H10*Assumptions!B51,0)</f>
        <v>1</v>
      </c>
      <c r="H11" s="16" t="n">
        <f aca="false">H10+F11-G11</f>
        <v>15</v>
      </c>
      <c r="I11" s="17" t="n">
        <f aca="false">ROUND(H11*Assumptions!B14,0)</f>
        <v>120</v>
      </c>
      <c r="J11" s="17" t="n">
        <f aca="false">ROUND(E11*Assumptions!B95*Assumptions!B96*Assumptions!B97*Assumptions!B94,0)</f>
        <v>61</v>
      </c>
      <c r="K11" s="17" t="n">
        <f aca="false">ROUND(E11*Assumptions!B57*Assumptions!B58,0)</f>
        <v>548</v>
      </c>
      <c r="L11" s="17" t="n">
        <f aca="false">ROUND(IF(A11&lt;Assumptions!B113,0,IF(A11&lt;=18,Assumptions!B105,Assumptions!B107)/1000*Assumptions!B115*0.55+IF(A11&gt;=Assumptions!B114,IF(A11&lt;=18,Assumptions!B105,Assumptions!B107)*Assumptions!B109/1000*Assumptions!B116*0.55,0)),0)</f>
        <v>0</v>
      </c>
      <c r="M11" s="17" t="n">
        <f aca="false">I11+J11+K11+L11</f>
        <v>729</v>
      </c>
      <c r="N11" s="17" t="n">
        <f aca="false">ROUND(H11*Assumptions!B62*Assumptions!B61,0)+Assumptions!B63+IF(H11&gt;Assumptions!B64,45,0)+Assumptions!B65+Assumptions!B66+Assumptions!B67+Assumptions!B68+Assumptions!B69/12+IF(A11&gt;=3,Assumptions!B72,0)+ROUND(I11*Assumptions!B70+H11*Assumptions!B71,0)+0</f>
        <v>194</v>
      </c>
      <c r="O11" s="17" t="n">
        <f aca="false">M11-N11</f>
        <v>535</v>
      </c>
      <c r="P11" s="17" t="n">
        <f aca="false">IF((Q10+O11)&lt;N11*Assumptions!B89,0,IF((Q10+O11)&lt;N11*6,ROUND(MAX(O11,0)*Assumptions!B90,0),ROUND(MAX(O11,0)*Assumptions!B91,0)))</f>
        <v>0</v>
      </c>
      <c r="Q11" s="17" t="n">
        <f aca="false">Q10+O11-P11</f>
        <v>-2399</v>
      </c>
    </row>
    <row r="12" customFormat="false" ht="15" hidden="false" customHeight="true" outlineLevel="0" collapsed="false">
      <c r="A12" s="5" t="n">
        <v>9</v>
      </c>
      <c r="B12" s="13" t="n">
        <f aca="false">ROUND(B11*(1+Assumptions!B35),0)</f>
        <v>1770</v>
      </c>
      <c r="C12" s="13" t="n">
        <f aca="false">ROUND(IF(A12&lt;Assumptions!B100,0,IF(A12&lt;=8,Assumptions!B103,IF(A12&lt;=12,Assumptions!B104,IF(A12&lt;=18,Assumptions!B105,IF(A12&lt;=24,Assumptions!B106,Assumptions!B107))))*(1+IF(A12&gt;=Assumptions!B101,Assumptions!B109,0))*Assumptions!B111),0)</f>
        <v>60</v>
      </c>
      <c r="D12" s="13" t="n">
        <f aca="false">ROUND(ROUND(Assumptions!B119*(1+Assumptions!B120)^6*(1+Assumptions!B121)^(A12-6),0)*Assumptions!B123,0)</f>
        <v>3</v>
      </c>
      <c r="E12" s="13" t="n">
        <f aca="false">B12+C12+D12</f>
        <v>1833</v>
      </c>
      <c r="F12" s="13" t="n">
        <f aca="false">ROUND(E12*Assumptions!B23,0)</f>
        <v>5</v>
      </c>
      <c r="G12" s="13" t="n">
        <f aca="false">ROUND(H11*Assumptions!B51,0)</f>
        <v>1</v>
      </c>
      <c r="H12" s="13" t="n">
        <f aca="false">H11+F12-G12</f>
        <v>19</v>
      </c>
      <c r="I12" s="14" t="n">
        <f aca="false">ROUND(H12*((Assumptions!B14+Assumptions!B15)/2),0)</f>
        <v>200</v>
      </c>
      <c r="J12" s="14" t="n">
        <f aca="false">ROUND(E12*Assumptions!B95*Assumptions!B96*Assumptions!B97*Assumptions!B94,0)</f>
        <v>71</v>
      </c>
      <c r="K12" s="14" t="n">
        <f aca="false">ROUND(E12*Assumptions!B57*Assumptions!B58,0)</f>
        <v>642</v>
      </c>
      <c r="L12" s="14" t="n">
        <f aca="false">ROUND(IF(A12&lt;Assumptions!B113,0,IF(A12&lt;=18,Assumptions!B105,Assumptions!B107)/1000*Assumptions!B115*0.55+IF(A12&gt;=Assumptions!B114,IF(A12&lt;=18,Assumptions!B105,Assumptions!B107)*Assumptions!B109/1000*Assumptions!B116*0.55,0)),0)</f>
        <v>0</v>
      </c>
      <c r="M12" s="14" t="n">
        <f aca="false">I12+J12+K12+L12</f>
        <v>913</v>
      </c>
      <c r="N12" s="14" t="n">
        <f aca="false">ROUND(H12*Assumptions!B62*Assumptions!B61,0)+Assumptions!B63+IF(H12&gt;Assumptions!B64,45,0)+Assumptions!B65+Assumptions!B66+Assumptions!B67+Assumptions!B68+Assumptions!B69/12+IF(A12&gt;=3,Assumptions!B72,0)+ROUND(I12*Assumptions!B70+H12*Assumptions!B71,0)+0</f>
        <v>199</v>
      </c>
      <c r="O12" s="14" t="n">
        <f aca="false">M12-N12</f>
        <v>714</v>
      </c>
      <c r="P12" s="14" t="n">
        <f aca="false">IF((Q11+O12)&lt;N12*Assumptions!B89,0,IF((Q11+O12)&lt;N12*6,ROUND(MAX(O12,0)*Assumptions!B90,0),ROUND(MAX(O12,0)*Assumptions!B91,0)))</f>
        <v>0</v>
      </c>
      <c r="Q12" s="14" t="n">
        <f aca="false">Q11+O12-P12</f>
        <v>-1685</v>
      </c>
    </row>
    <row r="13" customFormat="false" ht="15" hidden="false" customHeight="true" outlineLevel="0" collapsed="false">
      <c r="A13" s="15" t="n">
        <v>10</v>
      </c>
      <c r="B13" s="16" t="n">
        <f aca="false">ROUND(B12*(1+Assumptions!B35),0)</f>
        <v>2018</v>
      </c>
      <c r="C13" s="16" t="n">
        <f aca="false">ROUND(IF(A13&lt;Assumptions!B100,0,IF(A13&lt;=8,Assumptions!B103,IF(A13&lt;=12,Assumptions!B104,IF(A13&lt;=18,Assumptions!B105,IF(A13&lt;=24,Assumptions!B106,Assumptions!B107))))*(1+IF(A13&gt;=Assumptions!B101,Assumptions!B109,0))*Assumptions!B111),0)</f>
        <v>60</v>
      </c>
      <c r="D13" s="16" t="n">
        <f aca="false">ROUND(ROUND(Assumptions!B119*(1+Assumptions!B120)^6*(1+Assumptions!B121)^(A13-6),0)*Assumptions!B123,0)</f>
        <v>4</v>
      </c>
      <c r="E13" s="16" t="n">
        <f aca="false">B13+C13+D13</f>
        <v>2082</v>
      </c>
      <c r="F13" s="16" t="n">
        <f aca="false">ROUND(E13*Assumptions!B23,0)</f>
        <v>5</v>
      </c>
      <c r="G13" s="16" t="n">
        <f aca="false">ROUND(H12*Assumptions!B51,0)</f>
        <v>1</v>
      </c>
      <c r="H13" s="16" t="n">
        <f aca="false">H12+F13-G13</f>
        <v>23</v>
      </c>
      <c r="I13" s="17" t="n">
        <f aca="false">ROUND(H13*(Assumptions!B15*0.85+Assumptions!B11*0.15),0)</f>
        <v>264</v>
      </c>
      <c r="J13" s="17" t="n">
        <f aca="false">ROUND(E13*Assumptions!B95*Assumptions!B96*Assumptions!B97*Assumptions!B94,0)</f>
        <v>81</v>
      </c>
      <c r="K13" s="17" t="n">
        <f aca="false">ROUND(E13*Assumptions!B57*Assumptions!B58,0)</f>
        <v>729</v>
      </c>
      <c r="L13" s="17" t="n">
        <f aca="false">ROUND(IF(A13&lt;Assumptions!B113,0,IF(A13&lt;=18,Assumptions!B105,Assumptions!B107)/1000*Assumptions!B115*0.55+IF(A13&gt;=Assumptions!B114,IF(A13&lt;=18,Assumptions!B105,Assumptions!B107)*Assumptions!B109/1000*Assumptions!B116*0.55,0)),0)</f>
        <v>0</v>
      </c>
      <c r="M13" s="17" t="n">
        <f aca="false">I13+J13+K13+L13</f>
        <v>1074</v>
      </c>
      <c r="N13" s="17" t="n">
        <f aca="false">ROUND(H13*Assumptions!B62*Assumptions!B61,0)+Assumptions!B63+IF(H13&gt;Assumptions!B64,45,0)+Assumptions!B65+Assumptions!B66+Assumptions!B67+Assumptions!B68+Assumptions!B69/12+IF(A13&gt;=3,Assumptions!B72,0)+ROUND(I13*Assumptions!B70+H13*Assumptions!B71,0)+0</f>
        <v>203</v>
      </c>
      <c r="O13" s="17" t="n">
        <f aca="false">M13-N13</f>
        <v>871</v>
      </c>
      <c r="P13" s="17" t="n">
        <f aca="false">IF((Q12+O13)&lt;N13*Assumptions!B89,0,IF((Q12+O13)&lt;N13*6,ROUND(MAX(O13,0)*Assumptions!B90,0),ROUND(MAX(O13,0)*Assumptions!B91,0)))</f>
        <v>0</v>
      </c>
      <c r="Q13" s="17" t="n">
        <f aca="false">Q12+O13-P13</f>
        <v>-814</v>
      </c>
    </row>
    <row r="14" customFormat="false" ht="15" hidden="false" customHeight="true" outlineLevel="0" collapsed="false">
      <c r="A14" s="5" t="n">
        <v>11</v>
      </c>
      <c r="B14" s="13" t="n">
        <f aca="false">ROUND(B13*(1+Assumptions!B35),0)</f>
        <v>2301</v>
      </c>
      <c r="C14" s="13" t="n">
        <f aca="false">ROUND(IF(A14&lt;Assumptions!B100,0,IF(A14&lt;=8,Assumptions!B103,IF(A14&lt;=12,Assumptions!B104,IF(A14&lt;=18,Assumptions!B105,IF(A14&lt;=24,Assumptions!B106,Assumptions!B107))))*(1+IF(A14&gt;=Assumptions!B101,Assumptions!B109,0))*Assumptions!B111),0)</f>
        <v>60</v>
      </c>
      <c r="D14" s="13" t="n">
        <f aca="false">ROUND(ROUND(Assumptions!B119*(1+Assumptions!B120)^6*(1+Assumptions!B121)^(A14-6),0)*Assumptions!B123,0)</f>
        <v>5</v>
      </c>
      <c r="E14" s="13" t="n">
        <f aca="false">B14+C14+D14</f>
        <v>2366</v>
      </c>
      <c r="F14" s="13" t="n">
        <f aca="false">ROUND(E14*Assumptions!B23,0)</f>
        <v>6</v>
      </c>
      <c r="G14" s="13" t="n">
        <f aca="false">ROUND(H13*Assumptions!B51,0)</f>
        <v>2</v>
      </c>
      <c r="H14" s="13" t="n">
        <f aca="false">H13+F14-G14</f>
        <v>27</v>
      </c>
      <c r="I14" s="14" t="n">
        <f aca="false">ROUND(H14*(Assumptions!B15*0.85+Assumptions!B11*0.15),0)</f>
        <v>310</v>
      </c>
      <c r="J14" s="14" t="n">
        <f aca="false">ROUND(E14*Assumptions!B95*Assumptions!B96*Assumptions!B97*Assumptions!B94,0)</f>
        <v>92</v>
      </c>
      <c r="K14" s="14" t="n">
        <f aca="false">ROUND(E14*Assumptions!B57*Assumptions!B58,0)</f>
        <v>828</v>
      </c>
      <c r="L14" s="14" t="n">
        <f aca="false">ROUND(IF(A14&lt;Assumptions!B113,0,IF(A14&lt;=18,Assumptions!B105,Assumptions!B107)/1000*Assumptions!B115*0.55+IF(A14&gt;=Assumptions!B114,IF(A14&lt;=18,Assumptions!B105,Assumptions!B107)*Assumptions!B109/1000*Assumptions!B116*0.55,0)),0)</f>
        <v>0</v>
      </c>
      <c r="M14" s="14" t="n">
        <f aca="false">I14+J14+K14+L14</f>
        <v>1230</v>
      </c>
      <c r="N14" s="14" t="n">
        <f aca="false">ROUND(H14*Assumptions!B62*Assumptions!B61,0)+Assumptions!B63+IF(H14&gt;Assumptions!B64,45,0)+Assumptions!B65+Assumptions!B66+Assumptions!B67+Assumptions!B68+Assumptions!B69/12+IF(A14&gt;=3,Assumptions!B72,0)+ROUND(I14*Assumptions!B70+H14*Assumptions!B71,0)+0</f>
        <v>207</v>
      </c>
      <c r="O14" s="14" t="n">
        <f aca="false">M14-N14</f>
        <v>1023</v>
      </c>
      <c r="P14" s="14" t="n">
        <f aca="false">IF((Q13+O14)&lt;N14*Assumptions!B89,0,IF((Q13+O14)&lt;N14*6,ROUND(MAX(O14,0)*Assumptions!B90,0),ROUND(MAX(O14,0)*Assumptions!B91,0)))</f>
        <v>0</v>
      </c>
      <c r="Q14" s="14" t="n">
        <f aca="false">Q13+O14-P14</f>
        <v>209</v>
      </c>
    </row>
    <row r="15" customFormat="false" ht="15" hidden="false" customHeight="true" outlineLevel="0" collapsed="false">
      <c r="A15" s="15" t="n">
        <v>12</v>
      </c>
      <c r="B15" s="16" t="n">
        <f aca="false">ROUND(B14*(1+Assumptions!B35),0)</f>
        <v>2623</v>
      </c>
      <c r="C15" s="16" t="n">
        <f aca="false">ROUND(IF(A15&lt;Assumptions!B100,0,IF(A15&lt;=8,Assumptions!B103,IF(A15&lt;=12,Assumptions!B104,IF(A15&lt;=18,Assumptions!B105,IF(A15&lt;=24,Assumptions!B106,Assumptions!B107))))*(1+IF(A15&gt;=Assumptions!B101,Assumptions!B109,0))*Assumptions!B111),0)</f>
        <v>60</v>
      </c>
      <c r="D15" s="16" t="n">
        <f aca="false">ROUND(ROUND(Assumptions!B119*(1+Assumptions!B120)^6*(1+Assumptions!B121)^(A15-6),0)*Assumptions!B123,0)</f>
        <v>5</v>
      </c>
      <c r="E15" s="16" t="n">
        <f aca="false">B15+C15+D15</f>
        <v>2688</v>
      </c>
      <c r="F15" s="16" t="n">
        <f aca="false">ROUND(E15*Assumptions!B23,0)</f>
        <v>7</v>
      </c>
      <c r="G15" s="16" t="n">
        <f aca="false">ROUND(H14*Assumptions!B51,0)</f>
        <v>2</v>
      </c>
      <c r="H15" s="16" t="n">
        <f aca="false">H14+F15-G15</f>
        <v>32</v>
      </c>
      <c r="I15" s="17" t="n">
        <f aca="false">ROUND(H15*(Assumptions!B15*0.85+Assumptions!B11*0.15),0)</f>
        <v>367</v>
      </c>
      <c r="J15" s="17" t="n">
        <f aca="false">ROUND(E15*Assumptions!B95*Assumptions!B96*Assumptions!B97*Assumptions!B94,0)</f>
        <v>105</v>
      </c>
      <c r="K15" s="17" t="n">
        <f aca="false">ROUND(E15*Assumptions!B57*Assumptions!B58,0)</f>
        <v>941</v>
      </c>
      <c r="L15" s="17" t="n">
        <f aca="false">ROUND(IF(A15&lt;Assumptions!B113,0,IF(A15&lt;=18,Assumptions!B105,Assumptions!B107)/1000*Assumptions!B115*0.55+IF(A15&gt;=Assumptions!B114,IF(A15&lt;=18,Assumptions!B105,Assumptions!B107)*Assumptions!B109/1000*Assumptions!B116*0.55,0)),0)</f>
        <v>22</v>
      </c>
      <c r="M15" s="17" t="n">
        <f aca="false">I15+J15+K15+L15</f>
        <v>1435</v>
      </c>
      <c r="N15" s="17" t="n">
        <f aca="false">ROUND(H15*Assumptions!B62*Assumptions!B61,0)+Assumptions!B63+IF(H15&gt;Assumptions!B64,45,0)+Assumptions!B65+Assumptions!B66+Assumptions!B67+Assumptions!B68+Assumptions!B69/12+IF(A15&gt;=3,Assumptions!B72,0)+ROUND(I15*Assumptions!B70+H15*Assumptions!B71,0)+0</f>
        <v>211</v>
      </c>
      <c r="O15" s="17" t="n">
        <f aca="false">M15-N15</f>
        <v>1224</v>
      </c>
      <c r="P15" s="17" t="n">
        <f aca="false">IF((Q14+O15)&lt;N15*Assumptions!B89,0,IF((Q14+O15)&lt;N15*6,ROUND(MAX(O15,0)*Assumptions!B90,0),ROUND(MAX(O15,0)*Assumptions!B91,0)))</f>
        <v>612</v>
      </c>
      <c r="Q15" s="17" t="n">
        <f aca="false">Q14+O15-P15</f>
        <v>821</v>
      </c>
    </row>
    <row r="16" customFormat="false" ht="15" hidden="false" customHeight="true" outlineLevel="0" collapsed="false">
      <c r="A16" s="5" t="n">
        <v>13</v>
      </c>
      <c r="B16" s="13" t="n">
        <f aca="false">ROUND(B15*(1+Assumptions!B39),0)</f>
        <v>2859</v>
      </c>
      <c r="C16" s="13" t="n">
        <f aca="false">ROUND(IF(A16&lt;Assumptions!B100,0,IF(A16&lt;=8,Assumptions!B103,IF(A16&lt;=12,Assumptions!B104,IF(A16&lt;=18,Assumptions!B105,IF(A16&lt;=24,Assumptions!B106,Assumptions!B107))))*(1+IF(A16&gt;=Assumptions!B101,Assumptions!B109,0))*Assumptions!B111),0)</f>
        <v>150</v>
      </c>
      <c r="D16" s="13" t="n">
        <f aca="false">ROUND(ROUND(Assumptions!B119*(1+Assumptions!B120)^6*(1+Assumptions!B121)^6*(1+Assumptions!B122)^(A16-12),0)*Assumptions!B123,0)</f>
        <v>6</v>
      </c>
      <c r="E16" s="13" t="n">
        <f aca="false">B16+C16+D16</f>
        <v>3015</v>
      </c>
      <c r="F16" s="13" t="n">
        <f aca="false">ROUND(E16*Assumptions!B23,0)</f>
        <v>8</v>
      </c>
      <c r="G16" s="13" t="n">
        <f aca="false">ROUND(H15*Assumptions!B51,0)</f>
        <v>2</v>
      </c>
      <c r="H16" s="13" t="n">
        <f aca="false">H15+F16-G16</f>
        <v>38</v>
      </c>
      <c r="I16" s="14" t="n">
        <f aca="false">ROUND(H16*(Assumptions!B15*0.85+Assumptions!B11*0.15),0)</f>
        <v>436</v>
      </c>
      <c r="J16" s="14" t="n">
        <f aca="false">ROUND(E16*Assumptions!B95*Assumptions!B96*Assumptions!B97*Assumptions!B94,0)</f>
        <v>118</v>
      </c>
      <c r="K16" s="14" t="n">
        <f aca="false">ROUND(E16*Assumptions!B57*Assumptions!B58,0)</f>
        <v>1055</v>
      </c>
      <c r="L16" s="14" t="n">
        <f aca="false">ROUND(IF(A16&lt;Assumptions!B113,0,IF(A16&lt;=18,Assumptions!B105,Assumptions!B107)/1000*Assumptions!B115*0.55+IF(A16&gt;=Assumptions!B114,IF(A16&lt;=18,Assumptions!B105,Assumptions!B107)*Assumptions!B109/1000*Assumptions!B116*0.55,0)),0)</f>
        <v>22</v>
      </c>
      <c r="M16" s="14" t="n">
        <f aca="false">I16+J16+K16+L16</f>
        <v>1631</v>
      </c>
      <c r="N16" s="14" t="n">
        <f aca="false">ROUND(H16*Assumptions!B62*Assumptions!B61,0)+Assumptions!B63+IF(H16&gt;Assumptions!B64,45,0)+Assumptions!B65+Assumptions!B66+Assumptions!B67+Assumptions!B68+Assumptions!B69/12+IF(A16&gt;=3,Assumptions!B72,0)+ROUND(I16*Assumptions!B70+H16*Assumptions!B71,0)+0</f>
        <v>217</v>
      </c>
      <c r="O16" s="14" t="n">
        <f aca="false">M16-N16</f>
        <v>1414</v>
      </c>
      <c r="P16" s="14" t="n">
        <f aca="false">IF((Q15+O16)&lt;N16*Assumptions!B89,0,IF((Q15+O16)&lt;N16*6,ROUND(MAX(O16,0)*Assumptions!B90,0),ROUND(MAX(O16,0)*Assumptions!B91,0)))</f>
        <v>707</v>
      </c>
      <c r="Q16" s="14" t="n">
        <f aca="false">Q15+O16-P16</f>
        <v>1528</v>
      </c>
    </row>
    <row r="17" customFormat="false" ht="15" hidden="false" customHeight="true" outlineLevel="0" collapsed="false">
      <c r="A17" s="15" t="n">
        <v>14</v>
      </c>
      <c r="B17" s="16" t="n">
        <f aca="false">ROUND(B16*(1+Assumptions!B39),0)</f>
        <v>3116</v>
      </c>
      <c r="C17" s="16" t="n">
        <f aca="false">ROUND(IF(A17&lt;Assumptions!B100,0,IF(A17&lt;=8,Assumptions!B103,IF(A17&lt;=12,Assumptions!B104,IF(A17&lt;=18,Assumptions!B105,IF(A17&lt;=24,Assumptions!B106,Assumptions!B107))))*(1+IF(A17&gt;=Assumptions!B101,Assumptions!B109,0))*Assumptions!B111),0)</f>
        <v>150</v>
      </c>
      <c r="D17" s="16" t="n">
        <f aca="false">ROUND(ROUND(Assumptions!B119*(1+Assumptions!B120)^6*(1+Assumptions!B121)^6*(1+Assumptions!B122)^(A17-12),0)*Assumptions!B123,0)</f>
        <v>6</v>
      </c>
      <c r="E17" s="16" t="n">
        <f aca="false">B17+C17+D17</f>
        <v>3272</v>
      </c>
      <c r="F17" s="16" t="n">
        <f aca="false">ROUND(E17*Assumptions!B23,0)</f>
        <v>8</v>
      </c>
      <c r="G17" s="16" t="n">
        <f aca="false">ROUND(H16*Assumptions!B51,0)</f>
        <v>3</v>
      </c>
      <c r="H17" s="16" t="n">
        <f aca="false">H16+F17-G17</f>
        <v>43</v>
      </c>
      <c r="I17" s="17" t="n">
        <f aca="false">ROUND(H17*(Assumptions!B15*0.85+Assumptions!B11*0.15),0)</f>
        <v>493</v>
      </c>
      <c r="J17" s="17" t="n">
        <f aca="false">ROUND(E17*Assumptions!B95*Assumptions!B96*Assumptions!B97*Assumptions!B94,0)</f>
        <v>128</v>
      </c>
      <c r="K17" s="17" t="n">
        <f aca="false">ROUND(E17*Assumptions!B57*Assumptions!B58,0)</f>
        <v>1145</v>
      </c>
      <c r="L17" s="17" t="n">
        <f aca="false">ROUND(IF(A17&lt;Assumptions!B113,0,IF(A17&lt;=18,Assumptions!B105,Assumptions!B107)/1000*Assumptions!B115*0.55+IF(A17&gt;=Assumptions!B114,IF(A17&lt;=18,Assumptions!B105,Assumptions!B107)*Assumptions!B109/1000*Assumptions!B116*0.55,0)),0)</f>
        <v>22</v>
      </c>
      <c r="M17" s="17" t="n">
        <f aca="false">I17+J17+K17+L17</f>
        <v>1788</v>
      </c>
      <c r="N17" s="17" t="n">
        <f aca="false">ROUND(H17*Assumptions!B62*Assumptions!B61,0)+Assumptions!B63+IF(H17&gt;Assumptions!B64,45,0)+Assumptions!B65+Assumptions!B66+Assumptions!B67+Assumptions!B68+Assumptions!B69/12+IF(A17&gt;=3,Assumptions!B72,0)+ROUND(I17*Assumptions!B70+H17*Assumptions!B71,0)+0</f>
        <v>221</v>
      </c>
      <c r="O17" s="17" t="n">
        <f aca="false">M17-N17</f>
        <v>1567</v>
      </c>
      <c r="P17" s="17" t="n">
        <f aca="false">IF((Q16+O17)&lt;N17*Assumptions!B89,0,IF((Q16+O17)&lt;N17*6,ROUND(MAX(O17,0)*Assumptions!B90,0),ROUND(MAX(O17,0)*Assumptions!B91,0)))</f>
        <v>784</v>
      </c>
      <c r="Q17" s="17" t="n">
        <f aca="false">Q16+O17-P17</f>
        <v>2311</v>
      </c>
    </row>
    <row r="18" customFormat="false" ht="15" hidden="false" customHeight="true" outlineLevel="0" collapsed="false">
      <c r="A18" s="5" t="n">
        <v>15</v>
      </c>
      <c r="B18" s="13" t="n">
        <f aca="false">ROUND(B17*(1+Assumptions!B39),0)</f>
        <v>3396</v>
      </c>
      <c r="C18" s="13" t="n">
        <f aca="false">ROUND(IF(A18&lt;Assumptions!B100,0,IF(A18&lt;=8,Assumptions!B103,IF(A18&lt;=12,Assumptions!B104,IF(A18&lt;=18,Assumptions!B105,IF(A18&lt;=24,Assumptions!B106,Assumptions!B107))))*(1+IF(A18&gt;=Assumptions!B101,Assumptions!B109,0))*Assumptions!B111),0)</f>
        <v>150</v>
      </c>
      <c r="D18" s="13" t="n">
        <f aca="false">ROUND(ROUND(Assumptions!B119*(1+Assumptions!B120)^6*(1+Assumptions!B121)^6*(1+Assumptions!B122)^(A18-12),0)*Assumptions!B123,0)</f>
        <v>7</v>
      </c>
      <c r="E18" s="13" t="n">
        <f aca="false">B18+C18+D18</f>
        <v>3553</v>
      </c>
      <c r="F18" s="13" t="n">
        <f aca="false">ROUND(E18*Assumptions!B23,0)</f>
        <v>9</v>
      </c>
      <c r="G18" s="13" t="n">
        <f aca="false">ROUND(H17*Assumptions!B51,0)</f>
        <v>3</v>
      </c>
      <c r="H18" s="13" t="n">
        <f aca="false">H17+F18-G18</f>
        <v>49</v>
      </c>
      <c r="I18" s="14" t="n">
        <f aca="false">ROUND(H18*(Assumptions!B15*0.85+Assumptions!B11*0.15),0)</f>
        <v>562</v>
      </c>
      <c r="J18" s="14" t="n">
        <f aca="false">ROUND(E18*Assumptions!B95*Assumptions!B96*Assumptions!B97*Assumptions!B94,0)</f>
        <v>139</v>
      </c>
      <c r="K18" s="14" t="n">
        <f aca="false">ROUND(E18*Assumptions!B57*Assumptions!B58,0)</f>
        <v>1244</v>
      </c>
      <c r="L18" s="14" t="n">
        <f aca="false">ROUND(IF(A18&lt;Assumptions!B113,0,IF(A18&lt;=18,Assumptions!B105,Assumptions!B107)/1000*Assumptions!B115*0.55+IF(A18&gt;=Assumptions!B114,IF(A18&lt;=18,Assumptions!B105,Assumptions!B107)*Assumptions!B109/1000*Assumptions!B116*0.55,0)),0)</f>
        <v>22</v>
      </c>
      <c r="M18" s="14" t="n">
        <f aca="false">I18+J18+K18+L18</f>
        <v>1967</v>
      </c>
      <c r="N18" s="14" t="n">
        <f aca="false">ROUND(H18*Assumptions!B62*Assumptions!B61,0)+Assumptions!B63+IF(H18&gt;Assumptions!B64,45,0)+Assumptions!B65+Assumptions!B66+Assumptions!B67+Assumptions!B68+Assumptions!B69/12+IF(A18&gt;=3,Assumptions!B72,0)+ROUND(I18*Assumptions!B70+H18*Assumptions!B71,0)+0</f>
        <v>227</v>
      </c>
      <c r="O18" s="14" t="n">
        <f aca="false">M18-N18</f>
        <v>1740</v>
      </c>
      <c r="P18" s="14" t="n">
        <f aca="false">IF((Q17+O18)&lt;N18*Assumptions!B89,0,IF((Q17+O18)&lt;N18*6,ROUND(MAX(O18,0)*Assumptions!B90,0),ROUND(MAX(O18,0)*Assumptions!B91,0)))</f>
        <v>870</v>
      </c>
      <c r="Q18" s="14" t="n">
        <f aca="false">Q17+O18-P18</f>
        <v>3181</v>
      </c>
    </row>
    <row r="19" customFormat="false" ht="15" hidden="false" customHeight="true" outlineLevel="0" collapsed="false">
      <c r="A19" s="15" t="n">
        <v>16</v>
      </c>
      <c r="B19" s="16" t="n">
        <f aca="false">ROUND(B18*(1+Assumptions!B39),0)</f>
        <v>3702</v>
      </c>
      <c r="C19" s="16" t="n">
        <f aca="false">ROUND(IF(A19&lt;Assumptions!B100,0,IF(A19&lt;=8,Assumptions!B103,IF(A19&lt;=12,Assumptions!B104,IF(A19&lt;=18,Assumptions!B105,IF(A19&lt;=24,Assumptions!B106,Assumptions!B107))))*(1+IF(A19&gt;=Assumptions!B101,Assumptions!B109,0))*Assumptions!B111),0)</f>
        <v>150</v>
      </c>
      <c r="D19" s="16" t="n">
        <f aca="false">ROUND(ROUND(Assumptions!B119*(1+Assumptions!B120)^6*(1+Assumptions!B121)^6*(1+Assumptions!B122)^(A19-12),0)*Assumptions!B123,0)</f>
        <v>8</v>
      </c>
      <c r="E19" s="16" t="n">
        <f aca="false">B19+C19+D19</f>
        <v>3860</v>
      </c>
      <c r="F19" s="16" t="n">
        <f aca="false">ROUND(E19*Assumptions!B23,0)</f>
        <v>10</v>
      </c>
      <c r="G19" s="16" t="n">
        <f aca="false">ROUND(H18*Assumptions!B51,0)</f>
        <v>3</v>
      </c>
      <c r="H19" s="16" t="n">
        <f aca="false">H18+F19-G19</f>
        <v>56</v>
      </c>
      <c r="I19" s="17" t="n">
        <f aca="false">ROUND(H19*(Assumptions!B15*0.85+Assumptions!B11*0.15),0)</f>
        <v>643</v>
      </c>
      <c r="J19" s="17" t="n">
        <f aca="false">ROUND(E19*Assumptions!B95*Assumptions!B96*Assumptions!B97*Assumptions!B94,0)</f>
        <v>151</v>
      </c>
      <c r="K19" s="17" t="n">
        <f aca="false">ROUND(E19*Assumptions!B57*Assumptions!B58,0)</f>
        <v>1351</v>
      </c>
      <c r="L19" s="17" t="n">
        <f aca="false">ROUND(IF(A19&lt;Assumptions!B113,0,IF(A19&lt;=18,Assumptions!B105,Assumptions!B107)/1000*Assumptions!B115*0.55+IF(A19&gt;=Assumptions!B114,IF(A19&lt;=18,Assumptions!B105,Assumptions!B107)*Assumptions!B109/1000*Assumptions!B116*0.55,0)),0)</f>
        <v>26</v>
      </c>
      <c r="M19" s="17" t="n">
        <f aca="false">I19+J19+K19+L19</f>
        <v>2171</v>
      </c>
      <c r="N19" s="17" t="n">
        <f aca="false">ROUND(H19*Assumptions!B62*Assumptions!B61,0)+Assumptions!B63+IF(H19&gt;Assumptions!B64,45,0)+Assumptions!B65+Assumptions!B66+Assumptions!B67+Assumptions!B68+Assumptions!B69/12+IF(A19&gt;=3,Assumptions!B72,0)+ROUND(I19*Assumptions!B70+H19*Assumptions!B71,0)+0</f>
        <v>233</v>
      </c>
      <c r="O19" s="17" t="n">
        <f aca="false">M19-N19</f>
        <v>1938</v>
      </c>
      <c r="P19" s="17" t="n">
        <f aca="false">IF((Q18+O19)&lt;N19*Assumptions!B89,0,IF((Q18+O19)&lt;N19*6,ROUND(MAX(O19,0)*Assumptions!B90,0),ROUND(MAX(O19,0)*Assumptions!B91,0)))</f>
        <v>969</v>
      </c>
      <c r="Q19" s="17" t="n">
        <f aca="false">Q18+O19-P19</f>
        <v>4150</v>
      </c>
    </row>
    <row r="20" customFormat="false" ht="15" hidden="false" customHeight="true" outlineLevel="0" collapsed="false">
      <c r="A20" s="5" t="n">
        <v>17</v>
      </c>
      <c r="B20" s="13" t="n">
        <f aca="false">ROUND(B19*(1+Assumptions!B39),0)</f>
        <v>4035</v>
      </c>
      <c r="C20" s="13" t="n">
        <f aca="false">ROUND(IF(A20&lt;Assumptions!B100,0,IF(A20&lt;=8,Assumptions!B103,IF(A20&lt;=12,Assumptions!B104,IF(A20&lt;=18,Assumptions!B105,IF(A20&lt;=24,Assumptions!B106,Assumptions!B107))))*(1+IF(A20&gt;=Assumptions!B101,Assumptions!B109,0))*Assumptions!B111),0)</f>
        <v>150</v>
      </c>
      <c r="D20" s="13" t="n">
        <f aca="false">ROUND(ROUND(Assumptions!B119*(1+Assumptions!B120)^6*(1+Assumptions!B121)^6*(1+Assumptions!B122)^(A20-12),0)*Assumptions!B123,0)</f>
        <v>8</v>
      </c>
      <c r="E20" s="13" t="n">
        <f aca="false">B20+C20+D20</f>
        <v>4193</v>
      </c>
      <c r="F20" s="13" t="n">
        <f aca="false">ROUND(E20*Assumptions!B23,0)</f>
        <v>10</v>
      </c>
      <c r="G20" s="13" t="n">
        <f aca="false">ROUND(H19*Assumptions!B51,0)</f>
        <v>4</v>
      </c>
      <c r="H20" s="13" t="n">
        <f aca="false">H19+F20-G20</f>
        <v>62</v>
      </c>
      <c r="I20" s="14" t="n">
        <f aca="false">ROUND(H20*(Assumptions!B15*0.85+Assumptions!B11*0.15),0)</f>
        <v>711</v>
      </c>
      <c r="J20" s="14" t="n">
        <f aca="false">ROUND(E20*Assumptions!B95*Assumptions!B96*Assumptions!B97*Assumptions!B94,0)</f>
        <v>164</v>
      </c>
      <c r="K20" s="14" t="n">
        <f aca="false">ROUND(E20*Assumptions!B57*Assumptions!B58,0)</f>
        <v>1468</v>
      </c>
      <c r="L20" s="14" t="n">
        <f aca="false">ROUND(IF(A20&lt;Assumptions!B113,0,IF(A20&lt;=18,Assumptions!B105,Assumptions!B107)/1000*Assumptions!B115*0.55+IF(A20&gt;=Assumptions!B114,IF(A20&lt;=18,Assumptions!B105,Assumptions!B107)*Assumptions!B109/1000*Assumptions!B116*0.55,0)),0)</f>
        <v>26</v>
      </c>
      <c r="M20" s="14" t="n">
        <f aca="false">I20+J20+K20+L20</f>
        <v>2369</v>
      </c>
      <c r="N20" s="14" t="n">
        <f aca="false">ROUND(H20*Assumptions!B62*Assumptions!B61,0)+Assumptions!B63+IF(H20&gt;Assumptions!B64,45,0)+Assumptions!B65+Assumptions!B66+Assumptions!B67+Assumptions!B68+Assumptions!B69/12+IF(A20&gt;=3,Assumptions!B72,0)+ROUND(I20*Assumptions!B70+H20*Assumptions!B71,0)+0</f>
        <v>238</v>
      </c>
      <c r="O20" s="14" t="n">
        <f aca="false">M20-N20</f>
        <v>2131</v>
      </c>
      <c r="P20" s="14" t="n">
        <f aca="false">IF((Q19+O20)&lt;N20*Assumptions!B89,0,IF((Q19+O20)&lt;N20*6,ROUND(MAX(O20,0)*Assumptions!B90,0),ROUND(MAX(O20,0)*Assumptions!B91,0)))</f>
        <v>1066</v>
      </c>
      <c r="Q20" s="14" t="n">
        <f aca="false">Q19+O20-P20</f>
        <v>5215</v>
      </c>
    </row>
    <row r="21" customFormat="false" ht="15" hidden="false" customHeight="true" outlineLevel="0" collapsed="false">
      <c r="A21" s="15" t="n">
        <v>18</v>
      </c>
      <c r="B21" s="16" t="n">
        <f aca="false">ROUND(B20*(1+Assumptions!B39),0)</f>
        <v>4398</v>
      </c>
      <c r="C21" s="16" t="n">
        <f aca="false">ROUND(IF(A21&lt;Assumptions!B100,0,IF(A21&lt;=8,Assumptions!B103,IF(A21&lt;=12,Assumptions!B104,IF(A21&lt;=18,Assumptions!B105,IF(A21&lt;=24,Assumptions!B106,Assumptions!B107))))*(1+IF(A21&gt;=Assumptions!B101,Assumptions!B109,0))*Assumptions!B111),0)</f>
        <v>150</v>
      </c>
      <c r="D21" s="16" t="n">
        <f aca="false">ROUND(ROUND(Assumptions!B119*(1+Assumptions!B120)^6*(1+Assumptions!B121)^6*(1+Assumptions!B122)^(A21-12),0)*Assumptions!B123,0)</f>
        <v>9</v>
      </c>
      <c r="E21" s="16" t="n">
        <f aca="false">B21+C21+D21</f>
        <v>4557</v>
      </c>
      <c r="F21" s="16" t="n">
        <f aca="false">ROUND(E21*Assumptions!B23,0)</f>
        <v>11</v>
      </c>
      <c r="G21" s="16" t="n">
        <f aca="false">ROUND(H20*Assumptions!B51,0)</f>
        <v>4</v>
      </c>
      <c r="H21" s="16" t="n">
        <f aca="false">H20+F21-G21</f>
        <v>69</v>
      </c>
      <c r="I21" s="17" t="n">
        <f aca="false">ROUND(H21*(Assumptions!B15*0.85+Assumptions!B11*0.15),0)</f>
        <v>792</v>
      </c>
      <c r="J21" s="17" t="n">
        <f aca="false">ROUND(E21*Assumptions!B95*Assumptions!B96*Assumptions!B97*Assumptions!B94,0)</f>
        <v>178</v>
      </c>
      <c r="K21" s="17" t="n">
        <f aca="false">ROUND(E21*Assumptions!B57*Assumptions!B58,0)</f>
        <v>1595</v>
      </c>
      <c r="L21" s="17" t="n">
        <f aca="false">ROUND(IF(A21&lt;Assumptions!B113,0,IF(A21&lt;=18,Assumptions!B105,Assumptions!B107)/1000*Assumptions!B115*0.55+IF(A21&gt;=Assumptions!B114,IF(A21&lt;=18,Assumptions!B105,Assumptions!B107)*Assumptions!B109/1000*Assumptions!B116*0.55,0)),0)</f>
        <v>26</v>
      </c>
      <c r="M21" s="17" t="n">
        <f aca="false">I21+J21+K21+L21</f>
        <v>2591</v>
      </c>
      <c r="N21" s="17" t="n">
        <f aca="false">ROUND(H21*Assumptions!B62*Assumptions!B61,0)+Assumptions!B63+IF(H21&gt;Assumptions!B64,45,0)+Assumptions!B65+Assumptions!B66+Assumptions!B67+Assumptions!B68+Assumptions!B69/12+IF(A21&gt;=3,Assumptions!B72,0)+ROUND(I21*Assumptions!B70+H21*Assumptions!B71,0)+0</f>
        <v>245</v>
      </c>
      <c r="O21" s="17" t="n">
        <f aca="false">M21-N21</f>
        <v>2346</v>
      </c>
      <c r="P21" s="17" t="n">
        <f aca="false">IF((Q20+O21)&lt;N21*Assumptions!B89,0,IF((Q20+O21)&lt;N21*6,ROUND(MAX(O21,0)*Assumptions!B90,0),ROUND(MAX(O21,0)*Assumptions!B91,0)))</f>
        <v>1173</v>
      </c>
      <c r="Q21" s="17" t="n">
        <f aca="false">Q20+O21-P21</f>
        <v>6388</v>
      </c>
    </row>
    <row r="22" customFormat="false" ht="15" hidden="false" customHeight="true" outlineLevel="0" collapsed="false">
      <c r="A22" s="5" t="n">
        <v>19</v>
      </c>
      <c r="B22" s="13" t="n">
        <f aca="false">ROUND(B21*(1+Assumptions!B39),0)</f>
        <v>4794</v>
      </c>
      <c r="C22" s="13" t="n">
        <f aca="false">ROUND(IF(A22&lt;Assumptions!B100,0,IF(A22&lt;=8,Assumptions!B103,IF(A22&lt;=12,Assumptions!B104,IF(A22&lt;=18,Assumptions!B105,IF(A22&lt;=24,Assumptions!B106,Assumptions!B107))))*(1+IF(A22&gt;=Assumptions!B101,Assumptions!B109,0))*Assumptions!B111),0)</f>
        <v>300</v>
      </c>
      <c r="D22" s="13" t="n">
        <f aca="false">ROUND(ROUND(Assumptions!B119*(1+Assumptions!B120)^6*(1+Assumptions!B121)^6*(1+Assumptions!B122)^(A22-12),0)*Assumptions!B123,0)</f>
        <v>10</v>
      </c>
      <c r="E22" s="13" t="n">
        <f aca="false">B22+C22+D22</f>
        <v>5104</v>
      </c>
      <c r="F22" s="13" t="n">
        <f aca="false">ROUND(E22*Assumptions!B23,0)</f>
        <v>13</v>
      </c>
      <c r="G22" s="13" t="n">
        <f aca="false">ROUND(H21*Assumptions!B51,0)</f>
        <v>5</v>
      </c>
      <c r="H22" s="13" t="n">
        <f aca="false">H21+F22-G22</f>
        <v>77</v>
      </c>
      <c r="I22" s="14" t="n">
        <f aca="false">ROUND(H22*(Assumptions!B15*0.85+Assumptions!B11*0.15),0)</f>
        <v>884</v>
      </c>
      <c r="J22" s="14" t="n">
        <f aca="false">ROUND(E22*Assumptions!B95*Assumptions!B96*Assumptions!B97*Assumptions!B94,0)</f>
        <v>199</v>
      </c>
      <c r="K22" s="14" t="n">
        <f aca="false">ROUND(E22*Assumptions!B57*Assumptions!B58,0)</f>
        <v>1786</v>
      </c>
      <c r="L22" s="14" t="n">
        <f aca="false">ROUND(IF(A22&lt;Assumptions!B113,0,IF(A22&lt;=18,Assumptions!B105,Assumptions!B107)/1000*Assumptions!B115*0.55+IF(A22&gt;=Assumptions!B114,IF(A22&lt;=18,Assumptions!B105,Assumptions!B107)*Assumptions!B109/1000*Assumptions!B116*0.55,0)),0)</f>
        <v>94</v>
      </c>
      <c r="M22" s="14" t="n">
        <f aca="false">I22+J22+K22+L22</f>
        <v>2963</v>
      </c>
      <c r="N22" s="14" t="n">
        <f aca="false">ROUND(H22*Assumptions!B62*Assumptions!B61,0)+Assumptions!B63+IF(H22&gt;Assumptions!B64,45,0)+Assumptions!B65+Assumptions!B66+Assumptions!B67+Assumptions!B68+Assumptions!B69/12+IF(A22&gt;=3,Assumptions!B72,0)+ROUND(I22*Assumptions!B70+H22*Assumptions!B71,0)+0</f>
        <v>253</v>
      </c>
      <c r="O22" s="14" t="n">
        <f aca="false">M22-N22</f>
        <v>2710</v>
      </c>
      <c r="P22" s="14" t="n">
        <f aca="false">IF((Q21+O22)&lt;N22*Assumptions!B89,0,IF((Q21+O22)&lt;N22*6,ROUND(MAX(O22,0)*Assumptions!B90,0),ROUND(MAX(O22,0)*Assumptions!B91,0)))</f>
        <v>1355</v>
      </c>
      <c r="Q22" s="14" t="n">
        <f aca="false">Q21+O22-P22</f>
        <v>7743</v>
      </c>
    </row>
    <row r="23" customFormat="false" ht="15" hidden="false" customHeight="true" outlineLevel="0" collapsed="false">
      <c r="A23" s="15" t="n">
        <v>20</v>
      </c>
      <c r="B23" s="16" t="n">
        <f aca="false">ROUND(B22*(1+Assumptions!B39),0)</f>
        <v>5225</v>
      </c>
      <c r="C23" s="16" t="n">
        <f aca="false">ROUND(IF(A23&lt;Assumptions!B100,0,IF(A23&lt;=8,Assumptions!B103,IF(A23&lt;=12,Assumptions!B104,IF(A23&lt;=18,Assumptions!B105,IF(A23&lt;=24,Assumptions!B106,Assumptions!B107))))*(1+IF(A23&gt;=Assumptions!B101,Assumptions!B109,0))*Assumptions!B111),0)</f>
        <v>300</v>
      </c>
      <c r="D23" s="16" t="n">
        <f aca="false">ROUND(ROUND(Assumptions!B119*(1+Assumptions!B120)^6*(1+Assumptions!B121)^6*(1+Assumptions!B122)^(A23-12),0)*Assumptions!B123,0)</f>
        <v>11</v>
      </c>
      <c r="E23" s="16" t="n">
        <f aca="false">B23+C23+D23</f>
        <v>5536</v>
      </c>
      <c r="F23" s="16" t="n">
        <f aca="false">ROUND(E23*Assumptions!B23,0)</f>
        <v>14</v>
      </c>
      <c r="G23" s="16" t="n">
        <f aca="false">ROUND(H22*Assumptions!B51,0)</f>
        <v>5</v>
      </c>
      <c r="H23" s="16" t="n">
        <f aca="false">H22+F23-G23</f>
        <v>86</v>
      </c>
      <c r="I23" s="17" t="n">
        <f aca="false">ROUND(H23*(Assumptions!B15*0.85+Assumptions!B11*0.15),0)</f>
        <v>987</v>
      </c>
      <c r="J23" s="17" t="n">
        <f aca="false">ROUND(E23*Assumptions!B95*Assumptions!B96*Assumptions!B97*Assumptions!B94,0)</f>
        <v>216</v>
      </c>
      <c r="K23" s="17" t="n">
        <f aca="false">ROUND(E23*Assumptions!B57*Assumptions!B58,0)</f>
        <v>1938</v>
      </c>
      <c r="L23" s="17" t="n">
        <f aca="false">ROUND(IF(A23&lt;Assumptions!B113,0,IF(A23&lt;=18,Assumptions!B105,Assumptions!B107)/1000*Assumptions!B115*0.55+IF(A23&gt;=Assumptions!B114,IF(A23&lt;=18,Assumptions!B105,Assumptions!B107)*Assumptions!B109/1000*Assumptions!B116*0.55,0)),0)</f>
        <v>94</v>
      </c>
      <c r="M23" s="17" t="n">
        <f aca="false">I23+J23+K23+L23</f>
        <v>3235</v>
      </c>
      <c r="N23" s="17" t="n">
        <f aca="false">ROUND(H23*Assumptions!B62*Assumptions!B61,0)+Assumptions!B63+IF(H23&gt;Assumptions!B64,45,0)+Assumptions!B65+Assumptions!B66+Assumptions!B67+Assumptions!B68+Assumptions!B69/12+IF(A23&gt;=3,Assumptions!B72,0)+ROUND(I23*Assumptions!B70+H23*Assumptions!B71,0)+0</f>
        <v>260</v>
      </c>
      <c r="O23" s="17" t="n">
        <f aca="false">M23-N23</f>
        <v>2975</v>
      </c>
      <c r="P23" s="17" t="n">
        <f aca="false">IF((Q22+O23)&lt;N23*Assumptions!B89,0,IF((Q22+O23)&lt;N23*6,ROUND(MAX(O23,0)*Assumptions!B90,0),ROUND(MAX(O23,0)*Assumptions!B91,0)))</f>
        <v>1488</v>
      </c>
      <c r="Q23" s="17" t="n">
        <f aca="false">Q22+O23-P23</f>
        <v>9230</v>
      </c>
    </row>
    <row r="24" customFormat="false" ht="15" hidden="false" customHeight="true" outlineLevel="0" collapsed="false">
      <c r="A24" s="5" t="n">
        <v>21</v>
      </c>
      <c r="B24" s="13" t="n">
        <f aca="false">ROUND(B23*(1+Assumptions!B39),0)</f>
        <v>5695</v>
      </c>
      <c r="C24" s="13" t="n">
        <f aca="false">ROUND(IF(A24&lt;Assumptions!B100,0,IF(A24&lt;=8,Assumptions!B103,IF(A24&lt;=12,Assumptions!B104,IF(A24&lt;=18,Assumptions!B105,IF(A24&lt;=24,Assumptions!B106,Assumptions!B107))))*(1+IF(A24&gt;=Assumptions!B101,Assumptions!B109,0))*Assumptions!B111),0)</f>
        <v>300</v>
      </c>
      <c r="D24" s="13" t="n">
        <f aca="false">ROUND(ROUND(Assumptions!B119*(1+Assumptions!B120)^6*(1+Assumptions!B121)^6*(1+Assumptions!B122)^(A24-12),0)*Assumptions!B123,0)</f>
        <v>12</v>
      </c>
      <c r="E24" s="13" t="n">
        <f aca="false">B24+C24+D24</f>
        <v>6007</v>
      </c>
      <c r="F24" s="13" t="n">
        <f aca="false">ROUND(E24*Assumptions!B23,0)</f>
        <v>15</v>
      </c>
      <c r="G24" s="13" t="n">
        <f aca="false">ROUND(H23*Assumptions!B51,0)</f>
        <v>6</v>
      </c>
      <c r="H24" s="13" t="n">
        <f aca="false">H23+F24-G24</f>
        <v>95</v>
      </c>
      <c r="I24" s="14" t="n">
        <f aca="false">ROUND(H24*(Assumptions!B15*0.85+Assumptions!B11*0.15),0)</f>
        <v>1090</v>
      </c>
      <c r="J24" s="14" t="n">
        <f aca="false">ROUND(E24*Assumptions!B95*Assumptions!B96*Assumptions!B97*Assumptions!B94,0)</f>
        <v>234</v>
      </c>
      <c r="K24" s="14" t="n">
        <f aca="false">ROUND(E24*Assumptions!B57*Assumptions!B58,0)</f>
        <v>2102</v>
      </c>
      <c r="L24" s="14" t="n">
        <f aca="false">ROUND(IF(A24&lt;Assumptions!B113,0,IF(A24&lt;=18,Assumptions!B105,Assumptions!B107)/1000*Assumptions!B115*0.55+IF(A24&gt;=Assumptions!B114,IF(A24&lt;=18,Assumptions!B105,Assumptions!B107)*Assumptions!B109/1000*Assumptions!B116*0.55,0)),0)</f>
        <v>94</v>
      </c>
      <c r="M24" s="14" t="n">
        <f aca="false">I24+J24+K24+L24</f>
        <v>3520</v>
      </c>
      <c r="N24" s="14" t="n">
        <f aca="false">ROUND(H24*Assumptions!B62*Assumptions!B61,0)+Assumptions!B63+IF(H24&gt;Assumptions!B64,45,0)+Assumptions!B65+Assumptions!B66+Assumptions!B67+Assumptions!B68+Assumptions!B69/12+IF(A24&gt;=3,Assumptions!B72,0)+ROUND(I24*Assumptions!B70+H24*Assumptions!B71,0)+0</f>
        <v>269</v>
      </c>
      <c r="O24" s="14" t="n">
        <f aca="false">M24-N24</f>
        <v>3251</v>
      </c>
      <c r="P24" s="14" t="n">
        <f aca="false">IF((Q23+O24)&lt;N24*Assumptions!B89,0,IF((Q23+O24)&lt;N24*6,ROUND(MAX(O24,0)*Assumptions!B90,0),ROUND(MAX(O24,0)*Assumptions!B91,0)))</f>
        <v>1626</v>
      </c>
      <c r="Q24" s="14" t="n">
        <f aca="false">Q23+O24-P24</f>
        <v>10855</v>
      </c>
    </row>
    <row r="25" customFormat="false" ht="15" hidden="false" customHeight="true" outlineLevel="0" collapsed="false">
      <c r="A25" s="15" t="n">
        <v>22</v>
      </c>
      <c r="B25" s="16" t="n">
        <f aca="false">ROUND(B24*(1+Assumptions!B39),0)</f>
        <v>6208</v>
      </c>
      <c r="C25" s="16" t="n">
        <f aca="false">ROUND(IF(A25&lt;Assumptions!B100,0,IF(A25&lt;=8,Assumptions!B103,IF(A25&lt;=12,Assumptions!B104,IF(A25&lt;=18,Assumptions!B105,IF(A25&lt;=24,Assumptions!B106,Assumptions!B107))))*(1+IF(A25&gt;=Assumptions!B101,Assumptions!B109,0))*Assumptions!B111),0)</f>
        <v>300</v>
      </c>
      <c r="D25" s="16" t="n">
        <f aca="false">ROUND(ROUND(Assumptions!B119*(1+Assumptions!B120)^6*(1+Assumptions!B121)^6*(1+Assumptions!B122)^(A25-12),0)*Assumptions!B123,0)</f>
        <v>13</v>
      </c>
      <c r="E25" s="16" t="n">
        <f aca="false">B25+C25+D25</f>
        <v>6521</v>
      </c>
      <c r="F25" s="16" t="n">
        <f aca="false">ROUND(E25*Assumptions!B23,0)</f>
        <v>16</v>
      </c>
      <c r="G25" s="16" t="n">
        <f aca="false">ROUND(H24*Assumptions!B51,0)</f>
        <v>7</v>
      </c>
      <c r="H25" s="16" t="n">
        <f aca="false">H24+F25-G25</f>
        <v>104</v>
      </c>
      <c r="I25" s="17" t="n">
        <f aca="false">ROUND(H25*(Assumptions!B15*0.85+Assumptions!B11*0.15),0)</f>
        <v>1193</v>
      </c>
      <c r="J25" s="17" t="n">
        <f aca="false">ROUND(E25*Assumptions!B95*Assumptions!B96*Assumptions!B97*Assumptions!B94,0)</f>
        <v>254</v>
      </c>
      <c r="K25" s="17" t="n">
        <f aca="false">ROUND(E25*Assumptions!B57*Assumptions!B58,0)</f>
        <v>2282</v>
      </c>
      <c r="L25" s="17" t="n">
        <f aca="false">ROUND(IF(A25&lt;Assumptions!B113,0,IF(A25&lt;=18,Assumptions!B105,Assumptions!B107)/1000*Assumptions!B115*0.55+IF(A25&gt;=Assumptions!B114,IF(A25&lt;=18,Assumptions!B105,Assumptions!B107)*Assumptions!B109/1000*Assumptions!B116*0.55,0)),0)</f>
        <v>94</v>
      </c>
      <c r="M25" s="17" t="n">
        <f aca="false">I25+J25+K25+L25</f>
        <v>3823</v>
      </c>
      <c r="N25" s="17" t="n">
        <f aca="false">ROUND(H25*Assumptions!B62*Assumptions!B61,0)+Assumptions!B63+IF(H25&gt;Assumptions!B64,45,0)+Assumptions!B65+Assumptions!B66+Assumptions!B67+Assumptions!B68+Assumptions!B69/12+IF(A25&gt;=3,Assumptions!B72,0)+ROUND(I25*Assumptions!B70+H25*Assumptions!B71,0)+0</f>
        <v>277</v>
      </c>
      <c r="O25" s="17" t="n">
        <f aca="false">M25-N25</f>
        <v>3546</v>
      </c>
      <c r="P25" s="17" t="n">
        <f aca="false">IF((Q24+O25)&lt;N25*Assumptions!B89,0,IF((Q24+O25)&lt;N25*6,ROUND(MAX(O25,0)*Assumptions!B90,0),ROUND(MAX(O25,0)*Assumptions!B91,0)))</f>
        <v>1773</v>
      </c>
      <c r="Q25" s="17" t="n">
        <f aca="false">Q24+O25-P25</f>
        <v>12628</v>
      </c>
    </row>
    <row r="26" customFormat="false" ht="15" hidden="false" customHeight="true" outlineLevel="0" collapsed="false">
      <c r="A26" s="5" t="n">
        <v>23</v>
      </c>
      <c r="B26" s="13" t="n">
        <f aca="false">ROUND(B25*(1+Assumptions!B39),0)</f>
        <v>6767</v>
      </c>
      <c r="C26" s="13" t="n">
        <f aca="false">ROUND(IF(A26&lt;Assumptions!B100,0,IF(A26&lt;=8,Assumptions!B103,IF(A26&lt;=12,Assumptions!B104,IF(A26&lt;=18,Assumptions!B105,IF(A26&lt;=24,Assumptions!B106,Assumptions!B107))))*(1+IF(A26&gt;=Assumptions!B101,Assumptions!B109,0))*Assumptions!B111),0)</f>
        <v>300</v>
      </c>
      <c r="D26" s="13" t="n">
        <f aca="false">ROUND(ROUND(Assumptions!B119*(1+Assumptions!B120)^6*(1+Assumptions!B121)^6*(1+Assumptions!B122)^(A26-12),0)*Assumptions!B123,0)</f>
        <v>15</v>
      </c>
      <c r="E26" s="13" t="n">
        <f aca="false">B26+C26+D26</f>
        <v>7082</v>
      </c>
      <c r="F26" s="13" t="n">
        <f aca="false">ROUND(E26*Assumptions!B23,0)</f>
        <v>18</v>
      </c>
      <c r="G26" s="13" t="n">
        <f aca="false">ROUND(H25*Assumptions!B51,0)</f>
        <v>7</v>
      </c>
      <c r="H26" s="13" t="n">
        <f aca="false">H25+F26-G26</f>
        <v>115</v>
      </c>
      <c r="I26" s="14" t="n">
        <f aca="false">ROUND(H26*(Assumptions!B15*0.85+Assumptions!B11*0.15),0)</f>
        <v>1320</v>
      </c>
      <c r="J26" s="14" t="n">
        <f aca="false">ROUND(E26*Assumptions!B95*Assumptions!B96*Assumptions!B97*Assumptions!B94,0)</f>
        <v>276</v>
      </c>
      <c r="K26" s="14" t="n">
        <f aca="false">ROUND(E26*Assumptions!B57*Assumptions!B58,0)</f>
        <v>2479</v>
      </c>
      <c r="L26" s="14" t="n">
        <f aca="false">ROUND(IF(A26&lt;Assumptions!B113,0,IF(A26&lt;=18,Assumptions!B105,Assumptions!B107)/1000*Assumptions!B115*0.55+IF(A26&gt;=Assumptions!B114,IF(A26&lt;=18,Assumptions!B105,Assumptions!B107)*Assumptions!B109/1000*Assumptions!B116*0.55,0)),0)</f>
        <v>94</v>
      </c>
      <c r="M26" s="14" t="n">
        <f aca="false">I26+J26+K26+L26</f>
        <v>4169</v>
      </c>
      <c r="N26" s="14" t="n">
        <f aca="false">ROUND(H26*Assumptions!B62*Assumptions!B61,0)+Assumptions!B63+IF(H26&gt;Assumptions!B64,45,0)+Assumptions!B65+Assumptions!B66+Assumptions!B67+Assumptions!B68+Assumptions!B69/12+IF(A26&gt;=3,Assumptions!B72,0)+ROUND(I26*Assumptions!B70+H26*Assumptions!B71,0)+0</f>
        <v>287</v>
      </c>
      <c r="O26" s="14" t="n">
        <f aca="false">M26-N26</f>
        <v>3882</v>
      </c>
      <c r="P26" s="14" t="n">
        <f aca="false">IF((Q25+O26)&lt;N26*Assumptions!B89,0,IF((Q25+O26)&lt;N26*6,ROUND(MAX(O26,0)*Assumptions!B90,0),ROUND(MAX(O26,0)*Assumptions!B91,0)))</f>
        <v>1941</v>
      </c>
      <c r="Q26" s="14" t="n">
        <f aca="false">Q25+O26-P26</f>
        <v>14569</v>
      </c>
    </row>
    <row r="27" customFormat="false" ht="15" hidden="false" customHeight="true" outlineLevel="0" collapsed="false">
      <c r="A27" s="15" t="n">
        <v>24</v>
      </c>
      <c r="B27" s="16" t="n">
        <f aca="false">ROUND(B26*(1+Assumptions!B39),0)</f>
        <v>7376</v>
      </c>
      <c r="C27" s="16" t="n">
        <f aca="false">ROUND(IF(A27&lt;Assumptions!B100,0,IF(A27&lt;=8,Assumptions!B103,IF(A27&lt;=12,Assumptions!B104,IF(A27&lt;=18,Assumptions!B105,IF(A27&lt;=24,Assumptions!B106,Assumptions!B107))))*(1+IF(A27&gt;=Assumptions!B101,Assumptions!B109,0))*Assumptions!B111),0)</f>
        <v>300</v>
      </c>
      <c r="D27" s="16" t="n">
        <f aca="false">ROUND(ROUND(Assumptions!B119*(1+Assumptions!B120)^6*(1+Assumptions!B121)^6*(1+Assumptions!B122)^(A27-12),0)*Assumptions!B123,0)</f>
        <v>16</v>
      </c>
      <c r="E27" s="16" t="n">
        <f aca="false">B27+C27+D27</f>
        <v>7692</v>
      </c>
      <c r="F27" s="16" t="n">
        <f aca="false">ROUND(E27*Assumptions!B23,0)</f>
        <v>19</v>
      </c>
      <c r="G27" s="16" t="n">
        <f aca="false">ROUND(H26*Assumptions!B51,0)</f>
        <v>8</v>
      </c>
      <c r="H27" s="16" t="n">
        <f aca="false">H26+F27-G27</f>
        <v>126</v>
      </c>
      <c r="I27" s="17" t="n">
        <f aca="false">ROUND(H27*(Assumptions!B15*0.85+Assumptions!B11*0.15),0)</f>
        <v>1446</v>
      </c>
      <c r="J27" s="17" t="n">
        <f aca="false">ROUND(E27*Assumptions!B95*Assumptions!B96*Assumptions!B97*Assumptions!B94,0)</f>
        <v>300</v>
      </c>
      <c r="K27" s="17" t="n">
        <f aca="false">ROUND(E27*Assumptions!B57*Assumptions!B58,0)</f>
        <v>2692</v>
      </c>
      <c r="L27" s="17" t="n">
        <f aca="false">ROUND(IF(A27&lt;Assumptions!B113,0,IF(A27&lt;=18,Assumptions!B105,Assumptions!B107)/1000*Assumptions!B115*0.55+IF(A27&gt;=Assumptions!B114,IF(A27&lt;=18,Assumptions!B105,Assumptions!B107)*Assumptions!B109/1000*Assumptions!B116*0.55,0)),0)</f>
        <v>94</v>
      </c>
      <c r="M27" s="17" t="n">
        <f aca="false">I27+J27+K27+L27</f>
        <v>4532</v>
      </c>
      <c r="N27" s="17" t="n">
        <f aca="false">ROUND(H27*Assumptions!B62*Assumptions!B61,0)+Assumptions!B63+IF(H27&gt;Assumptions!B64,45,0)+Assumptions!B65+Assumptions!B66+Assumptions!B67+Assumptions!B68+Assumptions!B69/12+IF(A27&gt;=3,Assumptions!B72,0)+ROUND(I27*Assumptions!B70+H27*Assumptions!B71,0)+0</f>
        <v>297</v>
      </c>
      <c r="O27" s="17" t="n">
        <f aca="false">M27-N27</f>
        <v>4235</v>
      </c>
      <c r="P27" s="17" t="n">
        <f aca="false">IF((Q26+O27)&lt;N27*Assumptions!B89,0,IF((Q26+O27)&lt;N27*6,ROUND(MAX(O27,0)*Assumptions!B90,0),ROUND(MAX(O27,0)*Assumptions!B91,0)))</f>
        <v>2118</v>
      </c>
      <c r="Q27" s="17" t="n">
        <f aca="false">Q26+O27-P27</f>
        <v>16686</v>
      </c>
    </row>
    <row r="28" customFormat="false" ht="15" hidden="false" customHeight="true" outlineLevel="0" collapsed="false">
      <c r="A28" s="5" t="n">
        <v>25</v>
      </c>
      <c r="B28" s="13" t="n">
        <f aca="false">ROUND(B27*(1+Assumptions!B43),0)</f>
        <v>7819</v>
      </c>
      <c r="C28" s="13" t="n">
        <f aca="false">ROUND(IF(A28&lt;Assumptions!B100,0,IF(A28&lt;=8,Assumptions!B103,IF(A28&lt;=12,Assumptions!B104,IF(A28&lt;=18,Assumptions!B105,IF(A28&lt;=24,Assumptions!B106,Assumptions!B107))))*(1+IF(A28&gt;=Assumptions!B101,Assumptions!B109,0))*Assumptions!B111),0)</f>
        <v>540</v>
      </c>
      <c r="D28" s="13" t="n">
        <f aca="false">ROUND(ROUND(Assumptions!B119*(1+Assumptions!B120)^6*(1+Assumptions!B121)^6*(1+Assumptions!B122)^(A28-12),0)*Assumptions!B123,0)</f>
        <v>18</v>
      </c>
      <c r="E28" s="13" t="n">
        <f aca="false">B28+C28+D28</f>
        <v>8377</v>
      </c>
      <c r="F28" s="13" t="n">
        <f aca="false">ROUND(E28*Assumptions!B23,0)</f>
        <v>21</v>
      </c>
      <c r="G28" s="13" t="n">
        <f aca="false">ROUND(H27*Assumptions!B51,0)</f>
        <v>9</v>
      </c>
      <c r="H28" s="13" t="n">
        <f aca="false">H27+F28-G28</f>
        <v>138</v>
      </c>
      <c r="I28" s="14" t="n">
        <f aca="false">ROUND(H28*(Assumptions!B15*0.85+Assumptions!B11*0.15),0)</f>
        <v>1584</v>
      </c>
      <c r="J28" s="14" t="n">
        <f aca="false">ROUND(E28*Assumptions!B95*Assumptions!B96*Assumptions!B97*Assumptions!B94,0)</f>
        <v>327</v>
      </c>
      <c r="K28" s="14" t="n">
        <f aca="false">ROUND(E28*Assumptions!B57*Assumptions!B58,0)</f>
        <v>2932</v>
      </c>
      <c r="L28" s="14" t="n">
        <f aca="false">ROUND(IF(A28&lt;Assumptions!B113,0,IF(A28&lt;=18,Assumptions!B105,Assumptions!B107)/1000*Assumptions!B115*0.55+IF(A28&gt;=Assumptions!B114,IF(A28&lt;=18,Assumptions!B105,Assumptions!B107)*Assumptions!B109/1000*Assumptions!B116*0.55,0)),0)</f>
        <v>94</v>
      </c>
      <c r="M28" s="14" t="n">
        <f aca="false">I28+J28+K28+L28</f>
        <v>4937</v>
      </c>
      <c r="N28" s="14" t="n">
        <f aca="false">ROUND(H28*Assumptions!B62*Assumptions!B61,0)+Assumptions!B63+IF(H28&gt;Assumptions!B64,45,0)+Assumptions!B65+Assumptions!B66+Assumptions!B67+Assumptions!B68+Assumptions!B69/12+IF(A28&gt;=3,Assumptions!B72,0)+ROUND(I28*Assumptions!B70+H28*Assumptions!B71,0)+0</f>
        <v>308</v>
      </c>
      <c r="O28" s="14" t="n">
        <f aca="false">M28-N28</f>
        <v>4629</v>
      </c>
      <c r="P28" s="14" t="n">
        <f aca="false">IF((Q27+O28)&lt;N28*Assumptions!B89,0,IF((Q27+O28)&lt;N28*6,ROUND(MAX(O28,0)*Assumptions!B90,0),ROUND(MAX(O28,0)*Assumptions!B91,0)))</f>
        <v>2315</v>
      </c>
      <c r="Q28" s="14" t="n">
        <f aca="false">Q27+O28-P28</f>
        <v>19000</v>
      </c>
    </row>
    <row r="29" customFormat="false" ht="15" hidden="false" customHeight="true" outlineLevel="0" collapsed="false">
      <c r="A29" s="15" t="n">
        <v>26</v>
      </c>
      <c r="B29" s="16" t="n">
        <f aca="false">ROUND(B28*(1+Assumptions!B43),0)</f>
        <v>8288</v>
      </c>
      <c r="C29" s="16" t="n">
        <f aca="false">ROUND(IF(A29&lt;Assumptions!B100,0,IF(A29&lt;=8,Assumptions!B103,IF(A29&lt;=12,Assumptions!B104,IF(A29&lt;=18,Assumptions!B105,IF(A29&lt;=24,Assumptions!B106,Assumptions!B107))))*(1+IF(A29&gt;=Assumptions!B101,Assumptions!B109,0))*Assumptions!B111),0)</f>
        <v>540</v>
      </c>
      <c r="D29" s="16" t="n">
        <f aca="false">ROUND(ROUND(Assumptions!B119*(1+Assumptions!B120)^6*(1+Assumptions!B121)^6*(1+Assumptions!B122)^(A29-12),0)*Assumptions!B123,0)</f>
        <v>20</v>
      </c>
      <c r="E29" s="16" t="n">
        <f aca="false">B29+C29+D29</f>
        <v>8848</v>
      </c>
      <c r="F29" s="16" t="n">
        <f aca="false">ROUND(E29*Assumptions!B23,0)</f>
        <v>22</v>
      </c>
      <c r="G29" s="16" t="n">
        <f aca="false">ROUND(H28*Assumptions!B51,0)</f>
        <v>10</v>
      </c>
      <c r="H29" s="16" t="n">
        <f aca="false">H28+F29-G29</f>
        <v>150</v>
      </c>
      <c r="I29" s="17" t="n">
        <f aca="false">ROUND(H29*(Assumptions!B15*0.85+Assumptions!B11*0.15),0)</f>
        <v>1721</v>
      </c>
      <c r="J29" s="17" t="n">
        <f aca="false">ROUND(E29*Assumptions!B95*Assumptions!B96*Assumptions!B97*Assumptions!B94,0)</f>
        <v>345</v>
      </c>
      <c r="K29" s="17" t="n">
        <f aca="false">ROUND(E29*Assumptions!B57*Assumptions!B58,0)</f>
        <v>3097</v>
      </c>
      <c r="L29" s="17" t="n">
        <f aca="false">ROUND(IF(A29&lt;Assumptions!B113,0,IF(A29&lt;=18,Assumptions!B105,Assumptions!B107)/1000*Assumptions!B115*0.55+IF(A29&gt;=Assumptions!B114,IF(A29&lt;=18,Assumptions!B105,Assumptions!B107)*Assumptions!B109/1000*Assumptions!B116*0.55,0)),0)</f>
        <v>94</v>
      </c>
      <c r="M29" s="17" t="n">
        <f aca="false">I29+J29+K29+L29</f>
        <v>5257</v>
      </c>
      <c r="N29" s="17" t="n">
        <f aca="false">ROUND(H29*Assumptions!B62*Assumptions!B61,0)+Assumptions!B63+IF(H29&gt;Assumptions!B64,45,0)+Assumptions!B65+Assumptions!B66+Assumptions!B67+Assumptions!B68+Assumptions!B69/12+IF(A29&gt;=3,Assumptions!B72,0)+ROUND(I29*Assumptions!B70+H29*Assumptions!B71,0)+0</f>
        <v>319</v>
      </c>
      <c r="O29" s="17" t="n">
        <f aca="false">M29-N29</f>
        <v>4938</v>
      </c>
      <c r="P29" s="17" t="n">
        <f aca="false">IF((Q28+O29)&lt;N29*Assumptions!B89,0,IF((Q28+O29)&lt;N29*6,ROUND(MAX(O29,0)*Assumptions!B90,0),ROUND(MAX(O29,0)*Assumptions!B91,0)))</f>
        <v>2469</v>
      </c>
      <c r="Q29" s="17" t="n">
        <f aca="false">Q28+O29-P29</f>
        <v>21469</v>
      </c>
    </row>
    <row r="30" customFormat="false" ht="15" hidden="false" customHeight="true" outlineLevel="0" collapsed="false">
      <c r="A30" s="5" t="n">
        <v>27</v>
      </c>
      <c r="B30" s="13" t="n">
        <f aca="false">ROUND(B29*(1+Assumptions!B43),0)</f>
        <v>8785</v>
      </c>
      <c r="C30" s="13" t="n">
        <f aca="false">ROUND(IF(A30&lt;Assumptions!B100,0,IF(A30&lt;=8,Assumptions!B103,IF(A30&lt;=12,Assumptions!B104,IF(A30&lt;=18,Assumptions!B105,IF(A30&lt;=24,Assumptions!B106,Assumptions!B107))))*(1+IF(A30&gt;=Assumptions!B101,Assumptions!B109,0))*Assumptions!B111),0)</f>
        <v>540</v>
      </c>
      <c r="D30" s="13" t="n">
        <f aca="false">ROUND(ROUND(Assumptions!B119*(1+Assumptions!B120)^6*(1+Assumptions!B121)^6*(1+Assumptions!B122)^(A30-12),0)*Assumptions!B123,0)</f>
        <v>22</v>
      </c>
      <c r="E30" s="13" t="n">
        <f aca="false">B30+C30+D30</f>
        <v>9347</v>
      </c>
      <c r="F30" s="13" t="n">
        <f aca="false">ROUND(E30*Assumptions!B23,0)</f>
        <v>23</v>
      </c>
      <c r="G30" s="13" t="n">
        <f aca="false">ROUND(H29*Assumptions!B51,0)</f>
        <v>11</v>
      </c>
      <c r="H30" s="13" t="n">
        <f aca="false">H29+F30-G30</f>
        <v>162</v>
      </c>
      <c r="I30" s="14" t="n">
        <f aca="false">ROUND(H30*(Assumptions!B15*0.85+Assumptions!B11*0.15),0)</f>
        <v>1859</v>
      </c>
      <c r="J30" s="14" t="n">
        <f aca="false">ROUND(E30*Assumptions!B95*Assumptions!B96*Assumptions!B97*Assumptions!B94,0)</f>
        <v>365</v>
      </c>
      <c r="K30" s="14" t="n">
        <f aca="false">ROUND(E30*Assumptions!B57*Assumptions!B58,0)</f>
        <v>3271</v>
      </c>
      <c r="L30" s="14" t="n">
        <f aca="false">ROUND(IF(A30&lt;Assumptions!B113,0,IF(A30&lt;=18,Assumptions!B105,Assumptions!B107)/1000*Assumptions!B115*0.55+IF(A30&gt;=Assumptions!B114,IF(A30&lt;=18,Assumptions!B105,Assumptions!B107)*Assumptions!B109/1000*Assumptions!B116*0.55,0)),0)</f>
        <v>94</v>
      </c>
      <c r="M30" s="14" t="n">
        <f aca="false">I30+J30+K30+L30</f>
        <v>5589</v>
      </c>
      <c r="N30" s="14" t="n">
        <f aca="false">ROUND(H30*Assumptions!B62*Assumptions!B61,0)+Assumptions!B63+IF(H30&gt;Assumptions!B64,45,0)+Assumptions!B65+Assumptions!B66+Assumptions!B67+Assumptions!B68+Assumptions!B69/12+IF(A30&gt;=3,Assumptions!B72,0)+ROUND(I30*Assumptions!B70+H30*Assumptions!B71,0)+0</f>
        <v>330</v>
      </c>
      <c r="O30" s="14" t="n">
        <f aca="false">M30-N30</f>
        <v>5259</v>
      </c>
      <c r="P30" s="14" t="n">
        <f aca="false">IF((Q29+O30)&lt;N30*Assumptions!B89,0,IF((Q29+O30)&lt;N30*6,ROUND(MAX(O30,0)*Assumptions!B90,0),ROUND(MAX(O30,0)*Assumptions!B91,0)))</f>
        <v>2630</v>
      </c>
      <c r="Q30" s="14" t="n">
        <f aca="false">Q29+O30-P30</f>
        <v>24098</v>
      </c>
    </row>
    <row r="31" customFormat="false" ht="15" hidden="false" customHeight="true" outlineLevel="0" collapsed="false">
      <c r="A31" s="15" t="n">
        <v>28</v>
      </c>
      <c r="B31" s="16" t="n">
        <f aca="false">ROUND(B30*(1+Assumptions!B43),0)</f>
        <v>9312</v>
      </c>
      <c r="C31" s="16" t="n">
        <f aca="false">ROUND(IF(A31&lt;Assumptions!B100,0,IF(A31&lt;=8,Assumptions!B103,IF(A31&lt;=12,Assumptions!B104,IF(A31&lt;=18,Assumptions!B105,IF(A31&lt;=24,Assumptions!B106,Assumptions!B107))))*(1+IF(A31&gt;=Assumptions!B101,Assumptions!B109,0))*Assumptions!B111),0)</f>
        <v>540</v>
      </c>
      <c r="D31" s="16" t="n">
        <f aca="false">ROUND(ROUND(Assumptions!B119*(1+Assumptions!B120)^6*(1+Assumptions!B121)^6*(1+Assumptions!B122)^(A31-12),0)*Assumptions!B123,0)</f>
        <v>24</v>
      </c>
      <c r="E31" s="16" t="n">
        <f aca="false">B31+C31+D31</f>
        <v>9876</v>
      </c>
      <c r="F31" s="16" t="n">
        <f aca="false">ROUND(E31*Assumptions!B23,0)</f>
        <v>25</v>
      </c>
      <c r="G31" s="16" t="n">
        <f aca="false">ROUND(H30*Assumptions!B51,0)</f>
        <v>11</v>
      </c>
      <c r="H31" s="16" t="n">
        <f aca="false">H30+F31-G31</f>
        <v>176</v>
      </c>
      <c r="I31" s="17" t="n">
        <f aca="false">ROUND(H31*(Assumptions!B15*0.85+Assumptions!B11*0.15),0)</f>
        <v>2020</v>
      </c>
      <c r="J31" s="17" t="n">
        <f aca="false">ROUND(E31*Assumptions!B95*Assumptions!B96*Assumptions!B97*Assumptions!B94,0)</f>
        <v>385</v>
      </c>
      <c r="K31" s="17" t="n">
        <f aca="false">ROUND(E31*Assumptions!B57*Assumptions!B58,0)</f>
        <v>3457</v>
      </c>
      <c r="L31" s="17" t="n">
        <f aca="false">ROUND(IF(A31&lt;Assumptions!B113,0,IF(A31&lt;=18,Assumptions!B105,Assumptions!B107)/1000*Assumptions!B115*0.55+IF(A31&gt;=Assumptions!B114,IF(A31&lt;=18,Assumptions!B105,Assumptions!B107)*Assumptions!B109/1000*Assumptions!B116*0.55,0)),0)</f>
        <v>94</v>
      </c>
      <c r="M31" s="17" t="n">
        <f aca="false">I31+J31+K31+L31</f>
        <v>5956</v>
      </c>
      <c r="N31" s="17" t="n">
        <f aca="false">ROUND(H31*Assumptions!B62*Assumptions!B61,0)+Assumptions!B63+IF(H31&gt;Assumptions!B64,45,0)+Assumptions!B65+Assumptions!B66+Assumptions!B67+Assumptions!B68+Assumptions!B69/12+IF(A31&gt;=3,Assumptions!B72,0)+ROUND(I31*Assumptions!B70+H31*Assumptions!B71,0)+0</f>
        <v>342</v>
      </c>
      <c r="O31" s="17" t="n">
        <f aca="false">M31-N31</f>
        <v>5614</v>
      </c>
      <c r="P31" s="17" t="n">
        <f aca="false">IF((Q30+O31)&lt;N31*Assumptions!B89,0,IF((Q30+O31)&lt;N31*6,ROUND(MAX(O31,0)*Assumptions!B90,0),ROUND(MAX(O31,0)*Assumptions!B91,0)))</f>
        <v>2807</v>
      </c>
      <c r="Q31" s="17" t="n">
        <f aca="false">Q30+O31-P31</f>
        <v>26905</v>
      </c>
    </row>
    <row r="32" customFormat="false" ht="15" hidden="false" customHeight="true" outlineLevel="0" collapsed="false">
      <c r="A32" s="5" t="n">
        <v>29</v>
      </c>
      <c r="B32" s="13" t="n">
        <f aca="false">ROUND(B31*(1+Assumptions!B43),0)</f>
        <v>9871</v>
      </c>
      <c r="C32" s="13" t="n">
        <f aca="false">ROUND(IF(A32&lt;Assumptions!B100,0,IF(A32&lt;=8,Assumptions!B103,IF(A32&lt;=12,Assumptions!B104,IF(A32&lt;=18,Assumptions!B105,IF(A32&lt;=24,Assumptions!B106,Assumptions!B107))))*(1+IF(A32&gt;=Assumptions!B101,Assumptions!B109,0))*Assumptions!B111),0)</f>
        <v>540</v>
      </c>
      <c r="D32" s="13" t="n">
        <f aca="false">ROUND(ROUND(Assumptions!B119*(1+Assumptions!B120)^6*(1+Assumptions!B121)^6*(1+Assumptions!B122)^(A32-12),0)*Assumptions!B123,0)</f>
        <v>26</v>
      </c>
      <c r="E32" s="13" t="n">
        <f aca="false">B32+C32+D32</f>
        <v>10437</v>
      </c>
      <c r="F32" s="13" t="n">
        <f aca="false">ROUND(E32*Assumptions!B23,0)</f>
        <v>26</v>
      </c>
      <c r="G32" s="13" t="n">
        <f aca="false">ROUND(H31*Assumptions!B51,0)</f>
        <v>12</v>
      </c>
      <c r="H32" s="13" t="n">
        <f aca="false">H31+F32-G32</f>
        <v>190</v>
      </c>
      <c r="I32" s="14" t="n">
        <f aca="false">ROUND(H32*(Assumptions!B15*0.85+Assumptions!B11*0.15),0)</f>
        <v>2180</v>
      </c>
      <c r="J32" s="14" t="n">
        <f aca="false">ROUND(E32*Assumptions!B95*Assumptions!B96*Assumptions!B97*Assumptions!B94,0)</f>
        <v>407</v>
      </c>
      <c r="K32" s="14" t="n">
        <f aca="false">ROUND(E32*Assumptions!B57*Assumptions!B58,0)</f>
        <v>3653</v>
      </c>
      <c r="L32" s="14" t="n">
        <f aca="false">ROUND(IF(A32&lt;Assumptions!B113,0,IF(A32&lt;=18,Assumptions!B105,Assumptions!B107)/1000*Assumptions!B115*0.55+IF(A32&gt;=Assumptions!B114,IF(A32&lt;=18,Assumptions!B105,Assumptions!B107)*Assumptions!B109/1000*Assumptions!B116*0.55,0)),0)</f>
        <v>94</v>
      </c>
      <c r="M32" s="14" t="n">
        <f aca="false">I32+J32+K32+L32</f>
        <v>6334</v>
      </c>
      <c r="N32" s="14" t="n">
        <f aca="false">ROUND(H32*Assumptions!B62*Assumptions!B61,0)+Assumptions!B63+IF(H32&gt;Assumptions!B64,45,0)+Assumptions!B65+Assumptions!B66+Assumptions!B67+Assumptions!B68+Assumptions!B69/12+IF(A32&gt;=3,Assumptions!B72,0)+ROUND(I32*Assumptions!B70+H32*Assumptions!B71,0)+0</f>
        <v>355</v>
      </c>
      <c r="O32" s="14" t="n">
        <f aca="false">M32-N32</f>
        <v>5979</v>
      </c>
      <c r="P32" s="14" t="n">
        <f aca="false">IF((Q31+O32)&lt;N32*Assumptions!B89,0,IF((Q31+O32)&lt;N32*6,ROUND(MAX(O32,0)*Assumptions!B90,0),ROUND(MAX(O32,0)*Assumptions!B91,0)))</f>
        <v>2990</v>
      </c>
      <c r="Q32" s="14" t="n">
        <f aca="false">Q31+O32-P32</f>
        <v>29894</v>
      </c>
    </row>
    <row r="33" customFormat="false" ht="15" hidden="false" customHeight="true" outlineLevel="0" collapsed="false">
      <c r="A33" s="15" t="n">
        <v>30</v>
      </c>
      <c r="B33" s="16" t="n">
        <f aca="false">ROUND(B32*(1+Assumptions!B43),0)</f>
        <v>10463</v>
      </c>
      <c r="C33" s="16" t="n">
        <f aca="false">ROUND(IF(A33&lt;Assumptions!B100,0,IF(A33&lt;=8,Assumptions!B103,IF(A33&lt;=12,Assumptions!B104,IF(A33&lt;=18,Assumptions!B105,IF(A33&lt;=24,Assumptions!B106,Assumptions!B107))))*(1+IF(A33&gt;=Assumptions!B101,Assumptions!B109,0))*Assumptions!B111),0)</f>
        <v>540</v>
      </c>
      <c r="D33" s="16" t="n">
        <f aca="false">ROUND(ROUND(Assumptions!B119*(1+Assumptions!B120)^6*(1+Assumptions!B121)^6*(1+Assumptions!B122)^(A33-12),0)*Assumptions!B123,0)</f>
        <v>29</v>
      </c>
      <c r="E33" s="16" t="n">
        <f aca="false">B33+C33+D33</f>
        <v>11032</v>
      </c>
      <c r="F33" s="16" t="n">
        <f aca="false">ROUND(E33*Assumptions!B23,0)</f>
        <v>28</v>
      </c>
      <c r="G33" s="16" t="n">
        <f aca="false">ROUND(H32*Assumptions!B51,0)</f>
        <v>13</v>
      </c>
      <c r="H33" s="16" t="n">
        <f aca="false">H32+F33-G33</f>
        <v>205</v>
      </c>
      <c r="I33" s="17" t="n">
        <f aca="false">ROUND(H33*(Assumptions!B15*0.85+Assumptions!B11*0.15),0)</f>
        <v>2352</v>
      </c>
      <c r="J33" s="17" t="n">
        <f aca="false">ROUND(E33*Assumptions!B95*Assumptions!B96*Assumptions!B97*Assumptions!B94,0)</f>
        <v>430</v>
      </c>
      <c r="K33" s="17" t="n">
        <f aca="false">ROUND(E33*Assumptions!B57*Assumptions!B58,0)</f>
        <v>3861</v>
      </c>
      <c r="L33" s="17" t="n">
        <f aca="false">ROUND(IF(A33&lt;Assumptions!B113,0,IF(A33&lt;=18,Assumptions!B105,Assumptions!B107)/1000*Assumptions!B115*0.55+IF(A33&gt;=Assumptions!B114,IF(A33&lt;=18,Assumptions!B105,Assumptions!B107)*Assumptions!B109/1000*Assumptions!B116*0.55,0)),0)</f>
        <v>94</v>
      </c>
      <c r="M33" s="17" t="n">
        <f aca="false">I33+J33+K33+L33</f>
        <v>6737</v>
      </c>
      <c r="N33" s="17" t="n">
        <f aca="false">ROUND(H33*Assumptions!B62*Assumptions!B61,0)+Assumptions!B63+IF(H33&gt;Assumptions!B64,45,0)+Assumptions!B65+Assumptions!B66+Assumptions!B67+Assumptions!B68+Assumptions!B69/12+IF(A33&gt;=3,Assumptions!B72,0)+ROUND(I33*Assumptions!B70+H33*Assumptions!B71,0)+0</f>
        <v>369</v>
      </c>
      <c r="O33" s="17" t="n">
        <f aca="false">M33-N33</f>
        <v>6368</v>
      </c>
      <c r="P33" s="17" t="n">
        <f aca="false">IF((Q32+O33)&lt;N33*Assumptions!B89,0,IF((Q32+O33)&lt;N33*6,ROUND(MAX(O33,0)*Assumptions!B90,0),ROUND(MAX(O33,0)*Assumptions!B91,0)))</f>
        <v>3184</v>
      </c>
      <c r="Q33" s="17" t="n">
        <f aca="false">Q32+O33-P33</f>
        <v>33078</v>
      </c>
    </row>
    <row r="34" customFormat="false" ht="15" hidden="false" customHeight="true" outlineLevel="0" collapsed="false">
      <c r="A34" s="5" t="n">
        <v>31</v>
      </c>
      <c r="B34" s="13" t="n">
        <f aca="false">ROUND(B33*(1+Assumptions!B43),0)</f>
        <v>11091</v>
      </c>
      <c r="C34" s="13" t="n">
        <f aca="false">ROUND(IF(A34&lt;Assumptions!B100,0,IF(A34&lt;=8,Assumptions!B103,IF(A34&lt;=12,Assumptions!B104,IF(A34&lt;=18,Assumptions!B105,IF(A34&lt;=24,Assumptions!B106,Assumptions!B107))))*(1+IF(A34&gt;=Assumptions!B101,Assumptions!B109,0))*Assumptions!B111),0)</f>
        <v>540</v>
      </c>
      <c r="D34" s="13" t="n">
        <f aca="false">ROUND(ROUND(Assumptions!B119*(1+Assumptions!B120)^6*(1+Assumptions!B121)^6*(1+Assumptions!B122)^(A34-12),0)*Assumptions!B123,0)</f>
        <v>32</v>
      </c>
      <c r="E34" s="13" t="n">
        <f aca="false">B34+C34+D34</f>
        <v>11663</v>
      </c>
      <c r="F34" s="13" t="n">
        <f aca="false">ROUND(E34*Assumptions!B23,0)</f>
        <v>29</v>
      </c>
      <c r="G34" s="13" t="n">
        <f aca="false">ROUND(H33*Assumptions!B51,0)</f>
        <v>14</v>
      </c>
      <c r="H34" s="13" t="n">
        <f aca="false">H33+F34-G34</f>
        <v>220</v>
      </c>
      <c r="I34" s="14" t="n">
        <f aca="false">ROUND(H34*(Assumptions!B15*0.85+Assumptions!B11*0.15),0)</f>
        <v>2525</v>
      </c>
      <c r="J34" s="14" t="n">
        <f aca="false">ROUND(E34*Assumptions!B95*Assumptions!B96*Assumptions!B97*Assumptions!B94,0)</f>
        <v>455</v>
      </c>
      <c r="K34" s="14" t="n">
        <f aca="false">ROUND(E34*Assumptions!B57*Assumptions!B58,0)</f>
        <v>4082</v>
      </c>
      <c r="L34" s="14" t="n">
        <f aca="false">ROUND(IF(A34&lt;Assumptions!B113,0,IF(A34&lt;=18,Assumptions!B105,Assumptions!B107)/1000*Assumptions!B115*0.55+IF(A34&gt;=Assumptions!B114,IF(A34&lt;=18,Assumptions!B105,Assumptions!B107)*Assumptions!B109/1000*Assumptions!B116*0.55,0)),0)</f>
        <v>94</v>
      </c>
      <c r="M34" s="14" t="n">
        <f aca="false">I34+J34+K34+L34</f>
        <v>7156</v>
      </c>
      <c r="N34" s="14" t="n">
        <f aca="false">ROUND(H34*Assumptions!B62*Assumptions!B61,0)+Assumptions!B63+IF(H34&gt;Assumptions!B64,45,0)+Assumptions!B65+Assumptions!B66+Assumptions!B67+Assumptions!B68+Assumptions!B69/12+IF(A34&gt;=3,Assumptions!B72,0)+ROUND(I34*Assumptions!B70+H34*Assumptions!B71,0)+0</f>
        <v>383</v>
      </c>
      <c r="O34" s="14" t="n">
        <f aca="false">M34-N34</f>
        <v>6773</v>
      </c>
      <c r="P34" s="14" t="n">
        <f aca="false">IF((Q33+O34)&lt;N34*Assumptions!B89,0,IF((Q33+O34)&lt;N34*6,ROUND(MAX(O34,0)*Assumptions!B90,0),ROUND(MAX(O34,0)*Assumptions!B91,0)))</f>
        <v>3387</v>
      </c>
      <c r="Q34" s="14" t="n">
        <f aca="false">Q33+O34-P34</f>
        <v>36464</v>
      </c>
    </row>
    <row r="35" customFormat="false" ht="15" hidden="false" customHeight="true" outlineLevel="0" collapsed="false">
      <c r="A35" s="15" t="n">
        <v>32</v>
      </c>
      <c r="B35" s="16" t="n">
        <f aca="false">ROUND(B34*(1+Assumptions!B43),0)</f>
        <v>11756</v>
      </c>
      <c r="C35" s="16" t="n">
        <f aca="false">ROUND(IF(A35&lt;Assumptions!B100,0,IF(A35&lt;=8,Assumptions!B103,IF(A35&lt;=12,Assumptions!B104,IF(A35&lt;=18,Assumptions!B105,IF(A35&lt;=24,Assumptions!B106,Assumptions!B107))))*(1+IF(A35&gt;=Assumptions!B101,Assumptions!B109,0))*Assumptions!B111),0)</f>
        <v>540</v>
      </c>
      <c r="D35" s="16" t="n">
        <f aca="false">ROUND(ROUND(Assumptions!B119*(1+Assumptions!B120)^6*(1+Assumptions!B121)^6*(1+Assumptions!B122)^(A35-12),0)*Assumptions!B123,0)</f>
        <v>35</v>
      </c>
      <c r="E35" s="16" t="n">
        <f aca="false">B35+C35+D35</f>
        <v>12331</v>
      </c>
      <c r="F35" s="16" t="n">
        <f aca="false">ROUND(E35*Assumptions!B23,0)</f>
        <v>31</v>
      </c>
      <c r="G35" s="16" t="n">
        <f aca="false">ROUND(H34*Assumptions!B51,0)</f>
        <v>15</v>
      </c>
      <c r="H35" s="16" t="n">
        <f aca="false">H34+F35-G35</f>
        <v>236</v>
      </c>
      <c r="I35" s="17" t="n">
        <f aca="false">ROUND(H35*(Assumptions!B15*0.85+Assumptions!B11*0.15),0)</f>
        <v>2708</v>
      </c>
      <c r="J35" s="17" t="n">
        <f aca="false">ROUND(E35*Assumptions!B95*Assumptions!B96*Assumptions!B97*Assumptions!B94,0)</f>
        <v>481</v>
      </c>
      <c r="K35" s="17" t="n">
        <f aca="false">ROUND(E35*Assumptions!B57*Assumptions!B58,0)</f>
        <v>4316</v>
      </c>
      <c r="L35" s="17" t="n">
        <f aca="false">ROUND(IF(A35&lt;Assumptions!B113,0,IF(A35&lt;=18,Assumptions!B105,Assumptions!B107)/1000*Assumptions!B115*0.55+IF(A35&gt;=Assumptions!B114,IF(A35&lt;=18,Assumptions!B105,Assumptions!B107)*Assumptions!B109/1000*Assumptions!B116*0.55,0)),0)</f>
        <v>94</v>
      </c>
      <c r="M35" s="17" t="n">
        <f aca="false">I35+J35+K35+L35</f>
        <v>7599</v>
      </c>
      <c r="N35" s="17" t="n">
        <f aca="false">ROUND(H35*Assumptions!B62*Assumptions!B61,0)+Assumptions!B63+IF(H35&gt;Assumptions!B64,45,0)+Assumptions!B65+Assumptions!B66+Assumptions!B67+Assumptions!B68+Assumptions!B69/12+IF(A35&gt;=3,Assumptions!B72,0)+ROUND(I35*Assumptions!B70+H35*Assumptions!B71,0)+0</f>
        <v>397</v>
      </c>
      <c r="O35" s="17" t="n">
        <f aca="false">M35-N35</f>
        <v>7202</v>
      </c>
      <c r="P35" s="17" t="n">
        <f aca="false">IF((Q34+O35)&lt;N35*Assumptions!B89,0,IF((Q34+O35)&lt;N35*6,ROUND(MAX(O35,0)*Assumptions!B90,0),ROUND(MAX(O35,0)*Assumptions!B91,0)))</f>
        <v>3601</v>
      </c>
      <c r="Q35" s="17" t="n">
        <f aca="false">Q34+O35-P35</f>
        <v>40065</v>
      </c>
    </row>
    <row r="36" customFormat="false" ht="15" hidden="false" customHeight="true" outlineLevel="0" collapsed="false">
      <c r="A36" s="5" t="n">
        <v>33</v>
      </c>
      <c r="B36" s="13" t="n">
        <f aca="false">ROUND(B35*(1+Assumptions!B43),0)</f>
        <v>12461</v>
      </c>
      <c r="C36" s="13" t="n">
        <f aca="false">ROUND(IF(A36&lt;Assumptions!B100,0,IF(A36&lt;=8,Assumptions!B103,IF(A36&lt;=12,Assumptions!B104,IF(A36&lt;=18,Assumptions!B105,IF(A36&lt;=24,Assumptions!B106,Assumptions!B107))))*(1+IF(A36&gt;=Assumptions!B101,Assumptions!B109,0))*Assumptions!B111),0)</f>
        <v>540</v>
      </c>
      <c r="D36" s="13" t="n">
        <f aca="false">ROUND(ROUND(Assumptions!B119*(1+Assumptions!B120)^6*(1+Assumptions!B121)^6*(1+Assumptions!B122)^(A36-12),0)*Assumptions!B123,0)</f>
        <v>38</v>
      </c>
      <c r="E36" s="13" t="n">
        <f aca="false">B36+C36+D36</f>
        <v>13039</v>
      </c>
      <c r="F36" s="13" t="n">
        <f aca="false">ROUND(E36*Assumptions!B23,0)</f>
        <v>33</v>
      </c>
      <c r="G36" s="13" t="n">
        <f aca="false">ROUND(H35*Assumptions!B51,0)</f>
        <v>17</v>
      </c>
      <c r="H36" s="13" t="n">
        <f aca="false">H35+F36-G36</f>
        <v>252</v>
      </c>
      <c r="I36" s="14" t="n">
        <f aca="false">ROUND(H36*(Assumptions!B15*0.85+Assumptions!B11*0.15),0)</f>
        <v>2892</v>
      </c>
      <c r="J36" s="14" t="n">
        <f aca="false">ROUND(E36*Assumptions!B95*Assumptions!B96*Assumptions!B97*Assumptions!B94,0)</f>
        <v>509</v>
      </c>
      <c r="K36" s="14" t="n">
        <f aca="false">ROUND(E36*Assumptions!B57*Assumptions!B58,0)</f>
        <v>4564</v>
      </c>
      <c r="L36" s="14" t="n">
        <f aca="false">ROUND(IF(A36&lt;Assumptions!B113,0,IF(A36&lt;=18,Assumptions!B105,Assumptions!B107)/1000*Assumptions!B115*0.55+IF(A36&gt;=Assumptions!B114,IF(A36&lt;=18,Assumptions!B105,Assumptions!B107)*Assumptions!B109/1000*Assumptions!B116*0.55,0)),0)</f>
        <v>94</v>
      </c>
      <c r="M36" s="14" t="n">
        <f aca="false">I36+J36+K36+L36</f>
        <v>8059</v>
      </c>
      <c r="N36" s="14" t="n">
        <f aca="false">ROUND(H36*Assumptions!B62*Assumptions!B61,0)+Assumptions!B63+IF(H36&gt;Assumptions!B64,45,0)+Assumptions!B65+Assumptions!B66+Assumptions!B67+Assumptions!B68+Assumptions!B69/12+IF(A36&gt;=3,Assumptions!B72,0)+ROUND(I36*Assumptions!B70+H36*Assumptions!B71,0)+0</f>
        <v>412</v>
      </c>
      <c r="O36" s="14" t="n">
        <f aca="false">M36-N36</f>
        <v>7647</v>
      </c>
      <c r="P36" s="14" t="n">
        <f aca="false">IF((Q35+O36)&lt;N36*Assumptions!B89,0,IF((Q35+O36)&lt;N36*6,ROUND(MAX(O36,0)*Assumptions!B90,0),ROUND(MAX(O36,0)*Assumptions!B91,0)))</f>
        <v>3824</v>
      </c>
      <c r="Q36" s="14" t="n">
        <f aca="false">Q35+O36-P36</f>
        <v>43888</v>
      </c>
    </row>
    <row r="37" customFormat="false" ht="15" hidden="false" customHeight="true" outlineLevel="0" collapsed="false">
      <c r="A37" s="15" t="n">
        <v>34</v>
      </c>
      <c r="B37" s="16" t="n">
        <f aca="false">ROUND(B36*(1+Assumptions!B43),0)</f>
        <v>13209</v>
      </c>
      <c r="C37" s="16" t="n">
        <f aca="false">ROUND(IF(A37&lt;Assumptions!B100,0,IF(A37&lt;=8,Assumptions!B103,IF(A37&lt;=12,Assumptions!B104,IF(A37&lt;=18,Assumptions!B105,IF(A37&lt;=24,Assumptions!B106,Assumptions!B107))))*(1+IF(A37&gt;=Assumptions!B101,Assumptions!B109,0))*Assumptions!B111),0)</f>
        <v>540</v>
      </c>
      <c r="D37" s="16" t="n">
        <f aca="false">ROUND(ROUND(Assumptions!B119*(1+Assumptions!B120)^6*(1+Assumptions!B121)^6*(1+Assumptions!B122)^(A37-12),0)*Assumptions!B123,0)</f>
        <v>42</v>
      </c>
      <c r="E37" s="16" t="n">
        <f aca="false">B37+C37+D37</f>
        <v>13791</v>
      </c>
      <c r="F37" s="16" t="n">
        <f aca="false">ROUND(E37*Assumptions!B23,0)</f>
        <v>34</v>
      </c>
      <c r="G37" s="16" t="n">
        <f aca="false">ROUND(H36*Assumptions!B51,0)</f>
        <v>18</v>
      </c>
      <c r="H37" s="16" t="n">
        <f aca="false">H36+F37-G37</f>
        <v>268</v>
      </c>
      <c r="I37" s="17" t="n">
        <f aca="false">ROUND(H37*(Assumptions!B15*0.85+Assumptions!B11*0.15),0)</f>
        <v>3075</v>
      </c>
      <c r="J37" s="17" t="n">
        <f aca="false">ROUND(E37*Assumptions!B95*Assumptions!B96*Assumptions!B97*Assumptions!B94,0)</f>
        <v>538</v>
      </c>
      <c r="K37" s="17" t="n">
        <f aca="false">ROUND(E37*Assumptions!B57*Assumptions!B58,0)</f>
        <v>4827</v>
      </c>
      <c r="L37" s="17" t="n">
        <f aca="false">ROUND(IF(A37&lt;Assumptions!B113,0,IF(A37&lt;=18,Assumptions!B105,Assumptions!B107)/1000*Assumptions!B115*0.55+IF(A37&gt;=Assumptions!B114,IF(A37&lt;=18,Assumptions!B105,Assumptions!B107)*Assumptions!B109/1000*Assumptions!B116*0.55,0)),0)</f>
        <v>94</v>
      </c>
      <c r="M37" s="17" t="n">
        <f aca="false">I37+J37+K37+L37</f>
        <v>8534</v>
      </c>
      <c r="N37" s="17" t="n">
        <f aca="false">ROUND(H37*Assumptions!B62*Assumptions!B61,0)+Assumptions!B63+IF(H37&gt;Assumptions!B64,45,0)+Assumptions!B65+Assumptions!B66+Assumptions!B67+Assumptions!B68+Assumptions!B69/12+IF(A37&gt;=3,Assumptions!B72,0)+ROUND(I37*Assumptions!B70+H37*Assumptions!B71,0)+0</f>
        <v>427</v>
      </c>
      <c r="O37" s="17" t="n">
        <f aca="false">M37-N37</f>
        <v>8107</v>
      </c>
      <c r="P37" s="17" t="n">
        <f aca="false">IF((Q36+O37)&lt;N37*Assumptions!B89,0,IF((Q36+O37)&lt;N37*6,ROUND(MAX(O37,0)*Assumptions!B90,0),ROUND(MAX(O37,0)*Assumptions!B91,0)))</f>
        <v>4054</v>
      </c>
      <c r="Q37" s="17" t="n">
        <f aca="false">Q36+O37-P37</f>
        <v>47941</v>
      </c>
    </row>
    <row r="38" customFormat="false" ht="15" hidden="false" customHeight="true" outlineLevel="0" collapsed="false">
      <c r="A38" s="5" t="n">
        <v>35</v>
      </c>
      <c r="B38" s="13" t="n">
        <f aca="false">ROUND(B37*(1+Assumptions!B43),0)</f>
        <v>14002</v>
      </c>
      <c r="C38" s="13" t="n">
        <f aca="false">ROUND(IF(A38&lt;Assumptions!B100,0,IF(A38&lt;=8,Assumptions!B103,IF(A38&lt;=12,Assumptions!B104,IF(A38&lt;=18,Assumptions!B105,IF(A38&lt;=24,Assumptions!B106,Assumptions!B107))))*(1+IF(A38&gt;=Assumptions!B101,Assumptions!B109,0))*Assumptions!B111),0)</f>
        <v>540</v>
      </c>
      <c r="D38" s="13" t="n">
        <f aca="false">ROUND(ROUND(Assumptions!B119*(1+Assumptions!B120)^6*(1+Assumptions!B121)^6*(1+Assumptions!B122)^(A38-12),0)*Assumptions!B123,0)</f>
        <v>46</v>
      </c>
      <c r="E38" s="13" t="n">
        <f aca="false">B38+C38+D38</f>
        <v>14588</v>
      </c>
      <c r="F38" s="13" t="n">
        <f aca="false">ROUND(E38*Assumptions!B23,0)</f>
        <v>36</v>
      </c>
      <c r="G38" s="13" t="n">
        <f aca="false">ROUND(H37*Assumptions!B51,0)</f>
        <v>19</v>
      </c>
      <c r="H38" s="13" t="n">
        <f aca="false">H37+F38-G38</f>
        <v>285</v>
      </c>
      <c r="I38" s="14" t="n">
        <f aca="false">ROUND(H38*(Assumptions!B15*0.85+Assumptions!B11*0.15),0)</f>
        <v>3270</v>
      </c>
      <c r="J38" s="14" t="n">
        <f aca="false">ROUND(E38*Assumptions!B95*Assumptions!B96*Assumptions!B97*Assumptions!B94,0)</f>
        <v>569</v>
      </c>
      <c r="K38" s="14" t="n">
        <f aca="false">ROUND(E38*Assumptions!B57*Assumptions!B58,0)</f>
        <v>5106</v>
      </c>
      <c r="L38" s="14" t="n">
        <f aca="false">ROUND(IF(A38&lt;Assumptions!B113,0,IF(A38&lt;=18,Assumptions!B105,Assumptions!B107)/1000*Assumptions!B115*0.55+IF(A38&gt;=Assumptions!B114,IF(A38&lt;=18,Assumptions!B105,Assumptions!B107)*Assumptions!B109/1000*Assumptions!B116*0.55,0)),0)</f>
        <v>94</v>
      </c>
      <c r="M38" s="14" t="n">
        <f aca="false">I38+J38+K38+L38</f>
        <v>9039</v>
      </c>
      <c r="N38" s="14" t="n">
        <f aca="false">ROUND(H38*Assumptions!B62*Assumptions!B61,0)+Assumptions!B63+IF(H38&gt;Assumptions!B64,45,0)+Assumptions!B65+Assumptions!B66+Assumptions!B67+Assumptions!B68+Assumptions!B69/12+IF(A38&gt;=3,Assumptions!B72,0)+ROUND(I38*Assumptions!B70+H38*Assumptions!B71,0)+0</f>
        <v>442</v>
      </c>
      <c r="O38" s="14" t="n">
        <f aca="false">M38-N38</f>
        <v>8597</v>
      </c>
      <c r="P38" s="14" t="n">
        <f aca="false">IF((Q37+O38)&lt;N38*Assumptions!B89,0,IF((Q37+O38)&lt;N38*6,ROUND(MAX(O38,0)*Assumptions!B90,0),ROUND(MAX(O38,0)*Assumptions!B91,0)))</f>
        <v>4299</v>
      </c>
      <c r="Q38" s="14" t="n">
        <f aca="false">Q37+O38-P38</f>
        <v>52239</v>
      </c>
    </row>
    <row r="39" customFormat="false" ht="15" hidden="false" customHeight="true" outlineLevel="0" collapsed="false">
      <c r="A39" s="15" t="n">
        <v>36</v>
      </c>
      <c r="B39" s="16" t="n">
        <f aca="false">ROUND(B38*(1+Assumptions!B43),0)</f>
        <v>14842</v>
      </c>
      <c r="C39" s="16" t="n">
        <f aca="false">ROUND(IF(A39&lt;Assumptions!B100,0,IF(A39&lt;=8,Assumptions!B103,IF(A39&lt;=12,Assumptions!B104,IF(A39&lt;=18,Assumptions!B105,IF(A39&lt;=24,Assumptions!B106,Assumptions!B107))))*(1+IF(A39&gt;=Assumptions!B101,Assumptions!B109,0))*Assumptions!B111),0)</f>
        <v>540</v>
      </c>
      <c r="D39" s="16" t="n">
        <f aca="false">ROUND(ROUND(Assumptions!B119*(1+Assumptions!B120)^6*(1+Assumptions!B121)^6*(1+Assumptions!B122)^(A39-12),0)*Assumptions!B123,0)</f>
        <v>51</v>
      </c>
      <c r="E39" s="16" t="n">
        <f aca="false">B39+C39+D39</f>
        <v>15433</v>
      </c>
      <c r="F39" s="16" t="n">
        <f aca="false">ROUND(E39*Assumptions!B23,0)</f>
        <v>39</v>
      </c>
      <c r="G39" s="16" t="n">
        <f aca="false">ROUND(H38*Assumptions!B51,0)</f>
        <v>20</v>
      </c>
      <c r="H39" s="16" t="n">
        <f aca="false">H38+F39-G39</f>
        <v>304</v>
      </c>
      <c r="I39" s="17" t="n">
        <f aca="false">ROUND(H39*(Assumptions!B15*0.85+Assumptions!B11*0.15),0)</f>
        <v>3488</v>
      </c>
      <c r="J39" s="17" t="n">
        <f aca="false">ROUND(E39*Assumptions!B95*Assumptions!B96*Assumptions!B97*Assumptions!B94,0)</f>
        <v>602</v>
      </c>
      <c r="K39" s="17" t="n">
        <f aca="false">ROUND(E39*Assumptions!B57*Assumptions!B58,0)</f>
        <v>5402</v>
      </c>
      <c r="L39" s="17" t="n">
        <f aca="false">ROUND(IF(A39&lt;Assumptions!B113,0,IF(A39&lt;=18,Assumptions!B105,Assumptions!B107)/1000*Assumptions!B115*0.55+IF(A39&gt;=Assumptions!B114,IF(A39&lt;=18,Assumptions!B105,Assumptions!B107)*Assumptions!B109/1000*Assumptions!B116*0.55,0)),0)</f>
        <v>94</v>
      </c>
      <c r="M39" s="17" t="n">
        <f aca="false">I39+J39+K39+L39</f>
        <v>9586</v>
      </c>
      <c r="N39" s="17" t="n">
        <f aca="false">ROUND(H39*Assumptions!B62*Assumptions!B61,0)+Assumptions!B63+IF(H39&gt;Assumptions!B64,45,0)+Assumptions!B65+Assumptions!B66+Assumptions!B67+Assumptions!B68+Assumptions!B69/12+IF(A39&gt;=3,Assumptions!B72,0)+ROUND(I39*Assumptions!B70+H39*Assumptions!B71,0)+0</f>
        <v>459</v>
      </c>
      <c r="O39" s="17" t="n">
        <f aca="false">M39-N39</f>
        <v>9127</v>
      </c>
      <c r="P39" s="17" t="n">
        <f aca="false">IF((Q38+O39)&lt;N39*Assumptions!B89,0,IF((Q38+O39)&lt;N39*6,ROUND(MAX(O39,0)*Assumptions!B90,0),ROUND(MAX(O39,0)*Assumptions!B91,0)))</f>
        <v>4564</v>
      </c>
      <c r="Q39" s="17" t="n">
        <f aca="false">Q38+O39-P39</f>
        <v>56802</v>
      </c>
    </row>
    <row r="40" customFormat="false" ht="15" hidden="false" customHeight="true" outlineLevel="0" collapsed="false">
      <c r="A40" s="18" t="s">
        <v>234</v>
      </c>
      <c r="I40" s="19" t="n">
        <f aca="false">SUM(I4:I39)</f>
        <v>41836</v>
      </c>
      <c r="J40" s="19" t="n">
        <f aca="false">SUM(J4:J39)</f>
        <v>8425</v>
      </c>
      <c r="K40" s="19" t="n">
        <f aca="false">SUM(K4:K39)</f>
        <v>74296</v>
      </c>
      <c r="L40" s="19" t="n">
        <f aca="false">SUM(L4:L39)</f>
        <v>1858</v>
      </c>
      <c r="M40" s="19" t="n">
        <f aca="false">SUM(M4:M39)</f>
        <v>126415</v>
      </c>
      <c r="N40" s="19" t="n">
        <f aca="false">SUM(N4:N39)</f>
        <v>13007</v>
      </c>
      <c r="O40" s="19" t="n">
        <f aca="false">SUM(O4:O39)</f>
        <v>113408</v>
      </c>
      <c r="P40" s="19" t="n">
        <f aca="false">SUM(P4:P39)</f>
        <v>56606</v>
      </c>
    </row>
    <row r="41" customFormat="false" ht="15" hidden="false" customHeight="true" outlineLevel="0" collapsed="false">
      <c r="A41" s="18" t="s">
        <v>235</v>
      </c>
      <c r="B41" s="20" t="n">
        <f aca="false">B39</f>
        <v>14842</v>
      </c>
      <c r="C41" s="20" t="n">
        <f aca="false">C39</f>
        <v>540</v>
      </c>
      <c r="D41" s="20" t="n">
        <f aca="false">D39</f>
        <v>51</v>
      </c>
      <c r="E41" s="20" t="n">
        <f aca="false">E39</f>
        <v>15433</v>
      </c>
      <c r="H41" s="20" t="n">
        <f aca="false">H39</f>
        <v>304</v>
      </c>
      <c r="I41" s="19" t="n">
        <f aca="false">I39</f>
        <v>3488</v>
      </c>
      <c r="M41" s="19" t="n">
        <f aca="false">M39</f>
        <v>9586</v>
      </c>
      <c r="P41" s="19" t="n">
        <f aca="false">P39</f>
        <v>4564</v>
      </c>
      <c r="Q41" s="19" t="n">
        <f aca="false">Q39</f>
        <v>56802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17" min="2" style="1" width="13"/>
  </cols>
  <sheetData>
    <row r="1" customFormat="false" ht="17.25" hidden="false" customHeight="true" outlineLevel="0" collapsed="false">
      <c r="A1" s="2" t="s">
        <v>237</v>
      </c>
    </row>
    <row r="3" customFormat="false" ht="23.25" hidden="false" customHeight="true" outlineLevel="0" collapsed="false">
      <c r="A3" s="9" t="s">
        <v>217</v>
      </c>
      <c r="B3" s="9" t="s">
        <v>218</v>
      </c>
      <c r="C3" s="9" t="s">
        <v>219</v>
      </c>
      <c r="D3" s="9" t="s">
        <v>220</v>
      </c>
      <c r="E3" s="9" t="s">
        <v>221</v>
      </c>
      <c r="F3" s="9" t="s">
        <v>222</v>
      </c>
      <c r="G3" s="9" t="s">
        <v>223</v>
      </c>
      <c r="H3" s="9" t="s">
        <v>224</v>
      </c>
      <c r="I3" s="9" t="s">
        <v>225</v>
      </c>
      <c r="J3" s="9" t="s">
        <v>226</v>
      </c>
      <c r="K3" s="9" t="s">
        <v>227</v>
      </c>
      <c r="L3" s="9" t="s">
        <v>228</v>
      </c>
      <c r="M3" s="9" t="s">
        <v>229</v>
      </c>
      <c r="N3" s="9" t="s">
        <v>230</v>
      </c>
      <c r="O3" s="9" t="s">
        <v>231</v>
      </c>
      <c r="P3" s="9" t="s">
        <v>232</v>
      </c>
      <c r="Q3" s="9" t="s">
        <v>233</v>
      </c>
    </row>
    <row r="4" customFormat="false" ht="15" hidden="false" customHeight="true" outlineLevel="0" collapsed="false">
      <c r="A4" s="5" t="n">
        <v>1</v>
      </c>
      <c r="B4" s="10" t="n">
        <f aca="false">Assumptions!B32</f>
        <v>750</v>
      </c>
      <c r="C4" s="13" t="n">
        <f aca="false">ROUND(IF(A4&lt;Assumptions!B100,0,IF(A4&lt;=8,Assumptions!B103,IF(A4&lt;=12,Assumptions!B104,IF(A4&lt;=18,Assumptions!B105,IF(A4&lt;=24,Assumptions!B106,Assumptions!B107))))*(1+IF(A4&gt;=Assumptions!B101,Assumptions!B109,0))*Assumptions!B111),0)</f>
        <v>0</v>
      </c>
      <c r="D4" s="13" t="n">
        <f aca="false">ROUND(Assumptions!B119*Assumptions!B123,0)</f>
        <v>1</v>
      </c>
      <c r="E4" s="13" t="n">
        <f aca="false">B4+C4+D4</f>
        <v>751</v>
      </c>
      <c r="F4" s="13" t="n">
        <f aca="false">ROUND(E4*Assumptions!B24,0)</f>
        <v>4</v>
      </c>
      <c r="G4" s="13" t="n">
        <v>0</v>
      </c>
      <c r="H4" s="13" t="n">
        <f aca="false">F4</f>
        <v>4</v>
      </c>
      <c r="I4" s="14" t="n">
        <f aca="false">ROUND(H4*Assumptions!B14,0)</f>
        <v>32</v>
      </c>
      <c r="J4" s="14" t="n">
        <f aca="false">ROUND(E4*Assumptions!B95*Assumptions!B96*Assumptions!B97*Assumptions!B94,0)</f>
        <v>29</v>
      </c>
      <c r="K4" s="14" t="n">
        <v>0</v>
      </c>
      <c r="L4" s="14" t="n">
        <f aca="false">ROUND(IF(A4&lt;Assumptions!B113,0,IF(A4&lt;=18,Assumptions!B105,Assumptions!B107)/1000*Assumptions!B115*0.55+IF(A4&gt;=Assumptions!B114,IF(A4&lt;=18,Assumptions!B105,Assumptions!B107)*Assumptions!B109/1000*Assumptions!B116*0.55,0)),0)</f>
        <v>0</v>
      </c>
      <c r="M4" s="14" t="n">
        <f aca="false">I4+J4+K4+L4</f>
        <v>61</v>
      </c>
      <c r="N4" s="14" t="n">
        <f aca="false">ROUND(H4*Assumptions!B62*Assumptions!B61,0)+Assumptions!B63+IF(H4&gt;Assumptions!B64,45,0)+Assumptions!B65+Assumptions!B66+Assumptions!B67+Assumptions!B68+Assumptions!B69/12+IF(A4&gt;=3,Assumptions!B72,0)+ROUND(I4*Assumptions!B70+H4*Assumptions!B71,0)+Assumptions!B75+Assumptions!B76+Assumptions!B77</f>
        <v>3369</v>
      </c>
      <c r="O4" s="14" t="n">
        <f aca="false">M4-N4</f>
        <v>-3308</v>
      </c>
      <c r="P4" s="14" t="n">
        <f aca="false">IF(O4&lt;N4*Assumptions!B89,0,IF(O4&lt;N4*6,ROUND(MAX(O4,0)*Assumptions!B90,0),ROUND(MAX(O4,0)*Assumptions!B91,0)))</f>
        <v>0</v>
      </c>
      <c r="Q4" s="14" t="n">
        <f aca="false">O4-P4</f>
        <v>-3308</v>
      </c>
    </row>
    <row r="5" customFormat="false" ht="15" hidden="false" customHeight="true" outlineLevel="0" collapsed="false">
      <c r="A5" s="15" t="n">
        <v>2</v>
      </c>
      <c r="B5" s="16" t="n">
        <f aca="false">ROUND(B4*(1+Assumptions!B36),0)</f>
        <v>885</v>
      </c>
      <c r="C5" s="16" t="n">
        <f aca="false">ROUND(IF(A5&lt;Assumptions!B100,0,IF(A5&lt;=8,Assumptions!B103,IF(A5&lt;=12,Assumptions!B104,IF(A5&lt;=18,Assumptions!B105,IF(A5&lt;=24,Assumptions!B106,Assumptions!B107))))*(1+IF(A5&gt;=Assumptions!B101,Assumptions!B109,0))*Assumptions!B111),0)</f>
        <v>0</v>
      </c>
      <c r="D5" s="16" t="n">
        <f aca="false">ROUND(ROUND(Assumptions!B119*(1+Assumptions!B120)^(A5-1),0)*Assumptions!B123,0)</f>
        <v>1</v>
      </c>
      <c r="E5" s="16" t="n">
        <f aca="false">B5+C5+D5</f>
        <v>886</v>
      </c>
      <c r="F5" s="16" t="n">
        <f aca="false">ROUND(E5*Assumptions!B24,0)</f>
        <v>4</v>
      </c>
      <c r="G5" s="16" t="n">
        <f aca="false">ROUND(H4*Assumptions!B52,0)</f>
        <v>0</v>
      </c>
      <c r="H5" s="16" t="n">
        <f aca="false">H4+F5-G5</f>
        <v>8</v>
      </c>
      <c r="I5" s="17" t="n">
        <f aca="false">ROUND(H5*Assumptions!B14,0)</f>
        <v>64</v>
      </c>
      <c r="J5" s="17" t="n">
        <f aca="false">ROUND(E5*Assumptions!B95*Assumptions!B96*Assumptions!B97*Assumptions!B94,0)</f>
        <v>35</v>
      </c>
      <c r="K5" s="17" t="n">
        <v>0</v>
      </c>
      <c r="L5" s="17" t="n">
        <f aca="false">ROUND(IF(A5&lt;Assumptions!B113,0,IF(A5&lt;=18,Assumptions!B105,Assumptions!B107)/1000*Assumptions!B115*0.55+IF(A5&gt;=Assumptions!B114,IF(A5&lt;=18,Assumptions!B105,Assumptions!B107)*Assumptions!B109/1000*Assumptions!B116*0.55,0)),0)</f>
        <v>0</v>
      </c>
      <c r="M5" s="17" t="n">
        <f aca="false">I5+J5+K5+L5</f>
        <v>99</v>
      </c>
      <c r="N5" s="17" t="n">
        <f aca="false">ROUND(H5*Assumptions!B62*Assumptions!B61,0)+Assumptions!B63+IF(H5&gt;Assumptions!B64,45,0)+Assumptions!B65+Assumptions!B66+Assumptions!B67+Assumptions!B68+Assumptions!B69/12+IF(A5&gt;=3,Assumptions!B72,0)+ROUND(I5*Assumptions!B70+H5*Assumptions!B71,0)+0</f>
        <v>122</v>
      </c>
      <c r="O5" s="17" t="n">
        <f aca="false">M5-N5</f>
        <v>-23</v>
      </c>
      <c r="P5" s="17" t="n">
        <f aca="false">IF((Q4+O5)&lt;N5*Assumptions!B89,0,IF((Q4+O5)&lt;N5*6,ROUND(MAX(O5,0)*Assumptions!B90,0),ROUND(MAX(O5,0)*Assumptions!B91,0)))</f>
        <v>0</v>
      </c>
      <c r="Q5" s="17" t="n">
        <f aca="false">Q4+O5-P5</f>
        <v>-3331</v>
      </c>
    </row>
    <row r="6" customFormat="false" ht="15" hidden="false" customHeight="true" outlineLevel="0" collapsed="false">
      <c r="A6" s="5" t="n">
        <v>3</v>
      </c>
      <c r="B6" s="13" t="n">
        <f aca="false">ROUND(B5*(1+Assumptions!B36)*Assumptions!B46,0)</f>
        <v>1201</v>
      </c>
      <c r="C6" s="13" t="n">
        <f aca="false">ROUND(IF(A6&lt;Assumptions!B100,0,IF(A6&lt;=8,Assumptions!B103,IF(A6&lt;=12,Assumptions!B104,IF(A6&lt;=18,Assumptions!B105,IF(A6&lt;=24,Assumptions!B106,Assumptions!B107))))*(1+IF(A6&gt;=Assumptions!B101,Assumptions!B109,0))*Assumptions!B111),0)</f>
        <v>10</v>
      </c>
      <c r="D6" s="13" t="n">
        <f aca="false">ROUND(ROUND(Assumptions!B119*(1+Assumptions!B120)^(A6-1),0)*Assumptions!B123,0)</f>
        <v>1</v>
      </c>
      <c r="E6" s="13" t="n">
        <f aca="false">B6+C6+D6</f>
        <v>1212</v>
      </c>
      <c r="F6" s="13" t="n">
        <f aca="false">ROUND(E6*Assumptions!B24,0)</f>
        <v>6</v>
      </c>
      <c r="G6" s="13" t="n">
        <f aca="false">ROUND(H5*Assumptions!B52,0)</f>
        <v>0</v>
      </c>
      <c r="H6" s="13" t="n">
        <f aca="false">H5+F6-G6</f>
        <v>14</v>
      </c>
      <c r="I6" s="14" t="n">
        <f aca="false">ROUND(H6*Assumptions!B14,0)</f>
        <v>112</v>
      </c>
      <c r="J6" s="14" t="n">
        <f aca="false">ROUND(E6*Assumptions!B95*Assumptions!B96*Assumptions!B97*Assumptions!B94,0)</f>
        <v>47</v>
      </c>
      <c r="K6" s="14" t="n">
        <v>0</v>
      </c>
      <c r="L6" s="14" t="n">
        <f aca="false">ROUND(IF(A6&lt;Assumptions!B113,0,IF(A6&lt;=18,Assumptions!B105,Assumptions!B107)/1000*Assumptions!B115*0.55+IF(A6&gt;=Assumptions!B114,IF(A6&lt;=18,Assumptions!B105,Assumptions!B107)*Assumptions!B109/1000*Assumptions!B116*0.55,0)),0)</f>
        <v>0</v>
      </c>
      <c r="M6" s="14" t="n">
        <f aca="false">I6+J6+K6+L6</f>
        <v>159</v>
      </c>
      <c r="N6" s="14" t="n">
        <f aca="false">ROUND(H6*Assumptions!B62*Assumptions!B61,0)+Assumptions!B63+IF(H6&gt;Assumptions!B64,45,0)+Assumptions!B65+Assumptions!B66+Assumptions!B67+Assumptions!B68+Assumptions!B69/12+IF(A6&gt;=3,Assumptions!B72,0)+ROUND(I6*Assumptions!B70+H6*Assumptions!B71,0)+0</f>
        <v>193</v>
      </c>
      <c r="O6" s="14" t="n">
        <f aca="false">M6-N6</f>
        <v>-34</v>
      </c>
      <c r="P6" s="14" t="n">
        <f aca="false">IF((Q5+O6)&lt;N6*Assumptions!B89,0,IF((Q5+O6)&lt;N6*6,ROUND(MAX(O6,0)*Assumptions!B90,0),ROUND(MAX(O6,0)*Assumptions!B91,0)))</f>
        <v>0</v>
      </c>
      <c r="Q6" s="14" t="n">
        <f aca="false">Q5+O6-P6</f>
        <v>-3365</v>
      </c>
    </row>
    <row r="7" customFormat="false" ht="15" hidden="false" customHeight="true" outlineLevel="0" collapsed="false">
      <c r="A7" s="15" t="n">
        <v>4</v>
      </c>
      <c r="B7" s="16" t="n">
        <f aca="false">ROUND(B6*(1+Assumptions!B36),0)</f>
        <v>1417</v>
      </c>
      <c r="C7" s="16" t="n">
        <f aca="false">ROUND(IF(A7&lt;Assumptions!B100,0,IF(A7&lt;=8,Assumptions!B103,IF(A7&lt;=12,Assumptions!B104,IF(A7&lt;=18,Assumptions!B105,IF(A7&lt;=24,Assumptions!B106,Assumptions!B107))))*(1+IF(A7&gt;=Assumptions!B101,Assumptions!B109,0))*Assumptions!B111),0)</f>
        <v>10</v>
      </c>
      <c r="D7" s="16" t="n">
        <f aca="false">ROUND(ROUND(Assumptions!B119*(1+Assumptions!B120)^(A7-1),0)*Assumptions!B123,0)</f>
        <v>1</v>
      </c>
      <c r="E7" s="16" t="n">
        <f aca="false">B7+C7+D7</f>
        <v>1428</v>
      </c>
      <c r="F7" s="16" t="n">
        <f aca="false">ROUND(E7*Assumptions!B24,0)</f>
        <v>7</v>
      </c>
      <c r="G7" s="16" t="n">
        <f aca="false">ROUND(H6*Assumptions!B52,0)</f>
        <v>1</v>
      </c>
      <c r="H7" s="16" t="n">
        <f aca="false">H6+F7-G7</f>
        <v>20</v>
      </c>
      <c r="I7" s="17" t="n">
        <f aca="false">ROUND(H7*Assumptions!B14,0)</f>
        <v>160</v>
      </c>
      <c r="J7" s="17" t="n">
        <f aca="false">ROUND(E7*Assumptions!B95*Assumptions!B96*Assumptions!B97*Assumptions!B94,0)</f>
        <v>56</v>
      </c>
      <c r="K7" s="17" t="n">
        <v>0</v>
      </c>
      <c r="L7" s="17" t="n">
        <f aca="false">ROUND(IF(A7&lt;Assumptions!B113,0,IF(A7&lt;=18,Assumptions!B105,Assumptions!B107)/1000*Assumptions!B115*0.55+IF(A7&gt;=Assumptions!B114,IF(A7&lt;=18,Assumptions!B105,Assumptions!B107)*Assumptions!B109/1000*Assumptions!B116*0.55,0)),0)</f>
        <v>0</v>
      </c>
      <c r="M7" s="17" t="n">
        <f aca="false">I7+J7+K7+L7</f>
        <v>216</v>
      </c>
      <c r="N7" s="17" t="n">
        <f aca="false">ROUND(H7*Assumptions!B62*Assumptions!B61,0)+Assumptions!B63+IF(H7&gt;Assumptions!B64,45,0)+Assumptions!B65+Assumptions!B66+Assumptions!B67+Assumptions!B68+Assumptions!B69/12+IF(A7&gt;=3,Assumptions!B72,0)+ROUND(I7*Assumptions!B70+H7*Assumptions!B71,0)+0</f>
        <v>199</v>
      </c>
      <c r="O7" s="17" t="n">
        <f aca="false">M7-N7</f>
        <v>17</v>
      </c>
      <c r="P7" s="17" t="n">
        <f aca="false">IF((Q6+O7)&lt;N7*Assumptions!B89,0,IF((Q6+O7)&lt;N7*6,ROUND(MAX(O7,0)*Assumptions!B90,0),ROUND(MAX(O7,0)*Assumptions!B91,0)))</f>
        <v>0</v>
      </c>
      <c r="Q7" s="17" t="n">
        <f aca="false">Q6+O7-P7</f>
        <v>-3348</v>
      </c>
    </row>
    <row r="8" customFormat="false" ht="15" hidden="false" customHeight="true" outlineLevel="0" collapsed="false">
      <c r="A8" s="5" t="n">
        <v>5</v>
      </c>
      <c r="B8" s="13" t="n">
        <f aca="false">ROUND(B7*(1+Assumptions!B36),0)</f>
        <v>1672</v>
      </c>
      <c r="C8" s="13" t="n">
        <f aca="false">ROUND(IF(A8&lt;Assumptions!B100,0,IF(A8&lt;=8,Assumptions!B103,IF(A8&lt;=12,Assumptions!B104,IF(A8&lt;=18,Assumptions!B105,IF(A8&lt;=24,Assumptions!B106,Assumptions!B107))))*(1+IF(A8&gt;=Assumptions!B101,Assumptions!B109,0))*Assumptions!B111),0)</f>
        <v>10</v>
      </c>
      <c r="D8" s="13" t="n">
        <f aca="false">ROUND(ROUND(Assumptions!B119*(1+Assumptions!B120)^(A8-1),0)*Assumptions!B123,0)</f>
        <v>2</v>
      </c>
      <c r="E8" s="13" t="n">
        <f aca="false">B8+C8+D8</f>
        <v>1684</v>
      </c>
      <c r="F8" s="13" t="n">
        <f aca="false">ROUND(E8*Assumptions!B24,0)</f>
        <v>8</v>
      </c>
      <c r="G8" s="13" t="n">
        <f aca="false">ROUND(H7*Assumptions!B52,0)</f>
        <v>1</v>
      </c>
      <c r="H8" s="13" t="n">
        <f aca="false">H7+F8-G8</f>
        <v>27</v>
      </c>
      <c r="I8" s="14" t="n">
        <f aca="false">ROUND(H8*Assumptions!B14,0)</f>
        <v>216</v>
      </c>
      <c r="J8" s="14" t="n">
        <f aca="false">ROUND(E8*Assumptions!B95*Assumptions!B96*Assumptions!B97*Assumptions!B94,0)</f>
        <v>66</v>
      </c>
      <c r="K8" s="14" t="n">
        <v>0</v>
      </c>
      <c r="L8" s="14" t="n">
        <f aca="false">ROUND(IF(A8&lt;Assumptions!B113,0,IF(A8&lt;=18,Assumptions!B105,Assumptions!B107)/1000*Assumptions!B115*0.55+IF(A8&gt;=Assumptions!B114,IF(A8&lt;=18,Assumptions!B105,Assumptions!B107)*Assumptions!B109/1000*Assumptions!B116*0.55,0)),0)</f>
        <v>0</v>
      </c>
      <c r="M8" s="14" t="n">
        <f aca="false">I8+J8+K8+L8</f>
        <v>282</v>
      </c>
      <c r="N8" s="14" t="n">
        <f aca="false">ROUND(H8*Assumptions!B62*Assumptions!B61,0)+Assumptions!B63+IF(H8&gt;Assumptions!B64,45,0)+Assumptions!B65+Assumptions!B66+Assumptions!B67+Assumptions!B68+Assumptions!B69/12+IF(A8&gt;=3,Assumptions!B72,0)+ROUND(I8*Assumptions!B70+H8*Assumptions!B71,0)+0</f>
        <v>204</v>
      </c>
      <c r="O8" s="14" t="n">
        <f aca="false">M8-N8</f>
        <v>78</v>
      </c>
      <c r="P8" s="14" t="n">
        <f aca="false">IF((Q7+O8)&lt;N8*Assumptions!B89,0,IF((Q7+O8)&lt;N8*6,ROUND(MAX(O8,0)*Assumptions!B90,0),ROUND(MAX(O8,0)*Assumptions!B91,0)))</f>
        <v>0</v>
      </c>
      <c r="Q8" s="14" t="n">
        <f aca="false">Q7+O8-P8</f>
        <v>-3270</v>
      </c>
    </row>
    <row r="9" customFormat="false" ht="15" hidden="false" customHeight="true" outlineLevel="0" collapsed="false">
      <c r="A9" s="15" t="n">
        <v>6</v>
      </c>
      <c r="B9" s="16" t="n">
        <f aca="false">ROUND(B8*(1+Assumptions!B36)*Assumptions!B47,0)</f>
        <v>2131</v>
      </c>
      <c r="C9" s="16" t="n">
        <f aca="false">ROUND(IF(A9&lt;Assumptions!B100,0,IF(A9&lt;=8,Assumptions!B103,IF(A9&lt;=12,Assumptions!B104,IF(A9&lt;=18,Assumptions!B105,IF(A9&lt;=24,Assumptions!B106,Assumptions!B107))))*(1+IF(A9&gt;=Assumptions!B101,Assumptions!B109,0))*Assumptions!B111),0)</f>
        <v>10</v>
      </c>
      <c r="D9" s="16" t="n">
        <f aca="false">ROUND(ROUND(Assumptions!B119*(1+Assumptions!B120)^(A9-1),0)*Assumptions!B123,0)</f>
        <v>2</v>
      </c>
      <c r="E9" s="16" t="n">
        <f aca="false">B9+C9+D9</f>
        <v>2143</v>
      </c>
      <c r="F9" s="16" t="n">
        <f aca="false">ROUND(E9*Assumptions!B24,0)</f>
        <v>11</v>
      </c>
      <c r="G9" s="16" t="n">
        <f aca="false">ROUND(H8*Assumptions!B52,0)</f>
        <v>2</v>
      </c>
      <c r="H9" s="16" t="n">
        <f aca="false">H8+F9-G9</f>
        <v>36</v>
      </c>
      <c r="I9" s="17" t="n">
        <f aca="false">ROUND(H9*Assumptions!B14,0)</f>
        <v>288</v>
      </c>
      <c r="J9" s="17" t="n">
        <f aca="false">ROUND(E9*Assumptions!B95*Assumptions!B96*Assumptions!B97*Assumptions!B94,0)</f>
        <v>84</v>
      </c>
      <c r="K9" s="17" t="n">
        <f aca="false">ROUND(E9*Assumptions!B57*Assumptions!B58,0)</f>
        <v>750</v>
      </c>
      <c r="L9" s="17" t="n">
        <f aca="false">ROUND(IF(A9&lt;Assumptions!B113,0,IF(A9&lt;=18,Assumptions!B105,Assumptions!B107)/1000*Assumptions!B115*0.55+IF(A9&gt;=Assumptions!B114,IF(A9&lt;=18,Assumptions!B105,Assumptions!B107)*Assumptions!B109/1000*Assumptions!B116*0.55,0)),0)</f>
        <v>0</v>
      </c>
      <c r="M9" s="17" t="n">
        <f aca="false">I9+J9+K9+L9</f>
        <v>1122</v>
      </c>
      <c r="N9" s="17" t="n">
        <f aca="false">ROUND(H9*Assumptions!B62*Assumptions!B61,0)+Assumptions!B63+IF(H9&gt;Assumptions!B64,45,0)+Assumptions!B65+Assumptions!B66+Assumptions!B67+Assumptions!B68+Assumptions!B69/12+IF(A9&gt;=3,Assumptions!B72,0)+ROUND(I9*Assumptions!B70+H9*Assumptions!B71,0)+0</f>
        <v>211</v>
      </c>
      <c r="O9" s="17" t="n">
        <f aca="false">M9-N9</f>
        <v>911</v>
      </c>
      <c r="P9" s="17" t="n">
        <f aca="false">IF((Q8+O9)&lt;N9*Assumptions!B89,0,IF((Q8+O9)&lt;N9*6,ROUND(MAX(O9,0)*Assumptions!B90,0),ROUND(MAX(O9,0)*Assumptions!B91,0)))</f>
        <v>0</v>
      </c>
      <c r="Q9" s="17" t="n">
        <f aca="false">Q8+O9-P9</f>
        <v>-2359</v>
      </c>
    </row>
    <row r="10" customFormat="false" ht="15" hidden="false" customHeight="true" outlineLevel="0" collapsed="false">
      <c r="A10" s="5" t="n">
        <v>7</v>
      </c>
      <c r="B10" s="13" t="n">
        <f aca="false">ROUND(B9*(1+Assumptions!B36),0)</f>
        <v>2515</v>
      </c>
      <c r="C10" s="13" t="n">
        <f aca="false">ROUND(IF(A10&lt;Assumptions!B100,0,IF(A10&lt;=8,Assumptions!B103,IF(A10&lt;=12,Assumptions!B104,IF(A10&lt;=18,Assumptions!B105,IF(A10&lt;=24,Assumptions!B106,Assumptions!B107))))*(1+IF(A10&gt;=Assumptions!B101,Assumptions!B109,0))*Assumptions!B111),0)</f>
        <v>10</v>
      </c>
      <c r="D10" s="13" t="n">
        <f aca="false">ROUND(ROUND(Assumptions!B119*(1+Assumptions!B120)^6*(1+Assumptions!B121)^(A10-6),0)*Assumptions!B123,0)</f>
        <v>3</v>
      </c>
      <c r="E10" s="13" t="n">
        <f aca="false">B10+C10+D10</f>
        <v>2528</v>
      </c>
      <c r="F10" s="13" t="n">
        <f aca="false">ROUND(E10*Assumptions!B24,0)</f>
        <v>13</v>
      </c>
      <c r="G10" s="13" t="n">
        <f aca="false">ROUND(H9*Assumptions!B52,0)</f>
        <v>2</v>
      </c>
      <c r="H10" s="13" t="n">
        <f aca="false">H9+F10-G10</f>
        <v>47</v>
      </c>
      <c r="I10" s="14" t="n">
        <f aca="false">ROUND(H10*Assumptions!B14,0)</f>
        <v>376</v>
      </c>
      <c r="J10" s="14" t="n">
        <f aca="false">ROUND(E10*Assumptions!B95*Assumptions!B96*Assumptions!B97*Assumptions!B94,0)</f>
        <v>99</v>
      </c>
      <c r="K10" s="14" t="n">
        <f aca="false">ROUND(E10*Assumptions!B57*Assumptions!B58,0)</f>
        <v>885</v>
      </c>
      <c r="L10" s="14" t="n">
        <f aca="false">ROUND(IF(A10&lt;Assumptions!B113,0,IF(A10&lt;=18,Assumptions!B105,Assumptions!B107)/1000*Assumptions!B115*0.55+IF(A10&gt;=Assumptions!B114,IF(A10&lt;=18,Assumptions!B105,Assumptions!B107)*Assumptions!B109/1000*Assumptions!B116*0.55,0)),0)</f>
        <v>0</v>
      </c>
      <c r="M10" s="14" t="n">
        <f aca="false">I10+J10+K10+L10</f>
        <v>1360</v>
      </c>
      <c r="N10" s="14" t="n">
        <f aca="false">ROUND(H10*Assumptions!B62*Assumptions!B61,0)+Assumptions!B63+IF(H10&gt;Assumptions!B64,45,0)+Assumptions!B65+Assumptions!B66+Assumptions!B67+Assumptions!B68+Assumptions!B69/12+IF(A10&gt;=3,Assumptions!B72,0)+ROUND(I10*Assumptions!B70+H10*Assumptions!B71,0)+0</f>
        <v>220</v>
      </c>
      <c r="O10" s="14" t="n">
        <f aca="false">M10-N10</f>
        <v>1140</v>
      </c>
      <c r="P10" s="14" t="n">
        <f aca="false">IF((Q9+O10)&lt;N10*Assumptions!B89,0,IF((Q9+O10)&lt;N10*6,ROUND(MAX(O10,0)*Assumptions!B90,0),ROUND(MAX(O10,0)*Assumptions!B91,0)))</f>
        <v>0</v>
      </c>
      <c r="Q10" s="14" t="n">
        <f aca="false">Q9+O10-P10</f>
        <v>-1219</v>
      </c>
    </row>
    <row r="11" customFormat="false" ht="15" hidden="false" customHeight="true" outlineLevel="0" collapsed="false">
      <c r="A11" s="15" t="n">
        <v>8</v>
      </c>
      <c r="B11" s="16" t="n">
        <f aca="false">ROUND(B10*(1+Assumptions!B36),0)</f>
        <v>2968</v>
      </c>
      <c r="C11" s="16" t="n">
        <f aca="false">ROUND(IF(A11&lt;Assumptions!B100,0,IF(A11&lt;=8,Assumptions!B103,IF(A11&lt;=12,Assumptions!B104,IF(A11&lt;=18,Assumptions!B105,IF(A11&lt;=24,Assumptions!B106,Assumptions!B107))))*(1+IF(A11&gt;=Assumptions!B101,Assumptions!B109,0))*Assumptions!B111),0)</f>
        <v>10</v>
      </c>
      <c r="D11" s="16" t="n">
        <f aca="false">ROUND(ROUND(Assumptions!B119*(1+Assumptions!B120)^6*(1+Assumptions!B121)^(A11-6),0)*Assumptions!B123,0)</f>
        <v>3</v>
      </c>
      <c r="E11" s="16" t="n">
        <f aca="false">B11+C11+D11</f>
        <v>2981</v>
      </c>
      <c r="F11" s="16" t="n">
        <f aca="false">ROUND(E11*Assumptions!B24,0)</f>
        <v>15</v>
      </c>
      <c r="G11" s="16" t="n">
        <f aca="false">ROUND(H10*Assumptions!B52,0)</f>
        <v>3</v>
      </c>
      <c r="H11" s="16" t="n">
        <f aca="false">H10+F11-G11</f>
        <v>59</v>
      </c>
      <c r="I11" s="17" t="n">
        <f aca="false">ROUND(H11*Assumptions!B14,0)</f>
        <v>472</v>
      </c>
      <c r="J11" s="17" t="n">
        <f aca="false">ROUND(E11*Assumptions!B95*Assumptions!B96*Assumptions!B97*Assumptions!B94,0)</f>
        <v>116</v>
      </c>
      <c r="K11" s="17" t="n">
        <f aca="false">ROUND(E11*Assumptions!B57*Assumptions!B58,0)</f>
        <v>1043</v>
      </c>
      <c r="L11" s="17" t="n">
        <f aca="false">ROUND(IF(A11&lt;Assumptions!B113,0,IF(A11&lt;=18,Assumptions!B105,Assumptions!B107)/1000*Assumptions!B115*0.55+IF(A11&gt;=Assumptions!B114,IF(A11&lt;=18,Assumptions!B105,Assumptions!B107)*Assumptions!B109/1000*Assumptions!B116*0.55,0)),0)</f>
        <v>0</v>
      </c>
      <c r="M11" s="17" t="n">
        <f aca="false">I11+J11+K11+L11</f>
        <v>1631</v>
      </c>
      <c r="N11" s="17" t="n">
        <f aca="false">ROUND(H11*Assumptions!B62*Assumptions!B61,0)+Assumptions!B63+IF(H11&gt;Assumptions!B64,45,0)+Assumptions!B65+Assumptions!B66+Assumptions!B67+Assumptions!B68+Assumptions!B69/12+IF(A11&gt;=3,Assumptions!B72,0)+ROUND(I11*Assumptions!B70+H11*Assumptions!B71,0)+0</f>
        <v>230</v>
      </c>
      <c r="O11" s="17" t="n">
        <f aca="false">M11-N11</f>
        <v>1401</v>
      </c>
      <c r="P11" s="17" t="n">
        <f aca="false">IF((Q10+O11)&lt;N11*Assumptions!B89,0,IF((Q10+O11)&lt;N11*6,ROUND(MAX(O11,0)*Assumptions!B90,0),ROUND(MAX(O11,0)*Assumptions!B91,0)))</f>
        <v>0</v>
      </c>
      <c r="Q11" s="17" t="n">
        <f aca="false">Q10+O11-P11</f>
        <v>182</v>
      </c>
    </row>
    <row r="12" customFormat="false" ht="15" hidden="false" customHeight="true" outlineLevel="0" collapsed="false">
      <c r="A12" s="5" t="n">
        <v>9</v>
      </c>
      <c r="B12" s="13" t="n">
        <f aca="false">ROUND(B11*(1+Assumptions!B36),0)</f>
        <v>3502</v>
      </c>
      <c r="C12" s="13" t="n">
        <f aca="false">ROUND(IF(A12&lt;Assumptions!B100,0,IF(A12&lt;=8,Assumptions!B103,IF(A12&lt;=12,Assumptions!B104,IF(A12&lt;=18,Assumptions!B105,IF(A12&lt;=24,Assumptions!B106,Assumptions!B107))))*(1+IF(A12&gt;=Assumptions!B101,Assumptions!B109,0))*Assumptions!B111),0)</f>
        <v>60</v>
      </c>
      <c r="D12" s="13" t="n">
        <f aca="false">ROUND(ROUND(Assumptions!B119*(1+Assumptions!B120)^6*(1+Assumptions!B121)^(A12-6),0)*Assumptions!B123,0)</f>
        <v>3</v>
      </c>
      <c r="E12" s="13" t="n">
        <f aca="false">B12+C12+D12</f>
        <v>3565</v>
      </c>
      <c r="F12" s="13" t="n">
        <f aca="false">ROUND(E12*Assumptions!B24,0)</f>
        <v>18</v>
      </c>
      <c r="G12" s="13" t="n">
        <f aca="false">ROUND(H11*Assumptions!B52,0)</f>
        <v>4</v>
      </c>
      <c r="H12" s="13" t="n">
        <f aca="false">H11+F12-G12</f>
        <v>73</v>
      </c>
      <c r="I12" s="14" t="n">
        <f aca="false">ROUND(H12*((Assumptions!B14+Assumptions!B15)/2),0)</f>
        <v>767</v>
      </c>
      <c r="J12" s="14" t="n">
        <f aca="false">ROUND(E12*Assumptions!B95*Assumptions!B96*Assumptions!B97*Assumptions!B94,0)</f>
        <v>139</v>
      </c>
      <c r="K12" s="14" t="n">
        <f aca="false">ROUND(E12*Assumptions!B57*Assumptions!B58,0)</f>
        <v>1248</v>
      </c>
      <c r="L12" s="14" t="n">
        <f aca="false">ROUND(IF(A12&lt;Assumptions!B113,0,IF(A12&lt;=18,Assumptions!B105,Assumptions!B107)/1000*Assumptions!B115*0.55+IF(A12&gt;=Assumptions!B114,IF(A12&lt;=18,Assumptions!B105,Assumptions!B107)*Assumptions!B109/1000*Assumptions!B116*0.55,0)),0)</f>
        <v>0</v>
      </c>
      <c r="M12" s="14" t="n">
        <f aca="false">I12+J12+K12+L12</f>
        <v>2154</v>
      </c>
      <c r="N12" s="14" t="n">
        <f aca="false">ROUND(H12*Assumptions!B62*Assumptions!B61,0)+Assumptions!B63+IF(H12&gt;Assumptions!B64,45,0)+Assumptions!B65+Assumptions!B66+Assumptions!B67+Assumptions!B68+Assumptions!B69/12+IF(A12&gt;=3,Assumptions!B72,0)+ROUND(I12*Assumptions!B70+H12*Assumptions!B71,0)+0</f>
        <v>246</v>
      </c>
      <c r="O12" s="14" t="n">
        <f aca="false">M12-N12</f>
        <v>1908</v>
      </c>
      <c r="P12" s="14" t="n">
        <f aca="false">IF((Q11+O12)&lt;N12*Assumptions!B89,0,IF((Q11+O12)&lt;N12*6,ROUND(MAX(O12,0)*Assumptions!B90,0),ROUND(MAX(O12,0)*Assumptions!B91,0)))</f>
        <v>954</v>
      </c>
      <c r="Q12" s="14" t="n">
        <f aca="false">Q11+O12-P12</f>
        <v>1136</v>
      </c>
    </row>
    <row r="13" customFormat="false" ht="15" hidden="false" customHeight="true" outlineLevel="0" collapsed="false">
      <c r="A13" s="15" t="n">
        <v>10</v>
      </c>
      <c r="B13" s="16" t="n">
        <f aca="false">ROUND(B12*(1+Assumptions!B36),0)</f>
        <v>4132</v>
      </c>
      <c r="C13" s="16" t="n">
        <f aca="false">ROUND(IF(A13&lt;Assumptions!B100,0,IF(A13&lt;=8,Assumptions!B103,IF(A13&lt;=12,Assumptions!B104,IF(A13&lt;=18,Assumptions!B105,IF(A13&lt;=24,Assumptions!B106,Assumptions!B107))))*(1+IF(A13&gt;=Assumptions!B101,Assumptions!B109,0))*Assumptions!B111),0)</f>
        <v>60</v>
      </c>
      <c r="D13" s="16" t="n">
        <f aca="false">ROUND(ROUND(Assumptions!B119*(1+Assumptions!B120)^6*(1+Assumptions!B121)^(A13-6),0)*Assumptions!B123,0)</f>
        <v>4</v>
      </c>
      <c r="E13" s="16" t="n">
        <f aca="false">B13+C13+D13</f>
        <v>4196</v>
      </c>
      <c r="F13" s="16" t="n">
        <f aca="false">ROUND(E13*Assumptions!B24,0)</f>
        <v>21</v>
      </c>
      <c r="G13" s="16" t="n">
        <f aca="false">ROUND(H12*Assumptions!B52,0)</f>
        <v>4</v>
      </c>
      <c r="H13" s="16" t="n">
        <f aca="false">H12+F13-G13</f>
        <v>90</v>
      </c>
      <c r="I13" s="17" t="n">
        <f aca="false">ROUND(H13*(Assumptions!B15*0.85+Assumptions!B11*0.15),0)</f>
        <v>1033</v>
      </c>
      <c r="J13" s="17" t="n">
        <f aca="false">ROUND(E13*Assumptions!B95*Assumptions!B96*Assumptions!B97*Assumptions!B94,0)</f>
        <v>164</v>
      </c>
      <c r="K13" s="17" t="n">
        <f aca="false">ROUND(E13*Assumptions!B57*Assumptions!B58,0)</f>
        <v>1469</v>
      </c>
      <c r="L13" s="17" t="n">
        <f aca="false">ROUND(IF(A13&lt;Assumptions!B113,0,IF(A13&lt;=18,Assumptions!B105,Assumptions!B107)/1000*Assumptions!B115*0.55+IF(A13&gt;=Assumptions!B114,IF(A13&lt;=18,Assumptions!B105,Assumptions!B107)*Assumptions!B109/1000*Assumptions!B116*0.55,0)),0)</f>
        <v>0</v>
      </c>
      <c r="M13" s="17" t="n">
        <f aca="false">I13+J13+K13+L13</f>
        <v>2666</v>
      </c>
      <c r="N13" s="17" t="n">
        <f aca="false">ROUND(H13*Assumptions!B62*Assumptions!B61,0)+Assumptions!B63+IF(H13&gt;Assumptions!B64,45,0)+Assumptions!B65+Assumptions!B66+Assumptions!B67+Assumptions!B68+Assumptions!B69/12+IF(A13&gt;=3,Assumptions!B72,0)+ROUND(I13*Assumptions!B70+H13*Assumptions!B71,0)+0</f>
        <v>264</v>
      </c>
      <c r="O13" s="17" t="n">
        <f aca="false">M13-N13</f>
        <v>2402</v>
      </c>
      <c r="P13" s="17" t="n">
        <f aca="false">IF((Q12+O13)&lt;N13*Assumptions!B89,0,IF((Q12+O13)&lt;N13*6,ROUND(MAX(O13,0)*Assumptions!B90,0),ROUND(MAX(O13,0)*Assumptions!B91,0)))</f>
        <v>1201</v>
      </c>
      <c r="Q13" s="17" t="n">
        <f aca="false">Q12+O13-P13</f>
        <v>2337</v>
      </c>
    </row>
    <row r="14" customFormat="false" ht="15" hidden="false" customHeight="true" outlineLevel="0" collapsed="false">
      <c r="A14" s="5" t="n">
        <v>11</v>
      </c>
      <c r="B14" s="13" t="n">
        <f aca="false">ROUND(B13*(1+Assumptions!B36),0)</f>
        <v>4876</v>
      </c>
      <c r="C14" s="13" t="n">
        <f aca="false">ROUND(IF(A14&lt;Assumptions!B100,0,IF(A14&lt;=8,Assumptions!B103,IF(A14&lt;=12,Assumptions!B104,IF(A14&lt;=18,Assumptions!B105,IF(A14&lt;=24,Assumptions!B106,Assumptions!B107))))*(1+IF(A14&gt;=Assumptions!B101,Assumptions!B109,0))*Assumptions!B111),0)</f>
        <v>60</v>
      </c>
      <c r="D14" s="13" t="n">
        <f aca="false">ROUND(ROUND(Assumptions!B119*(1+Assumptions!B120)^6*(1+Assumptions!B121)^(A14-6),0)*Assumptions!B123,0)</f>
        <v>5</v>
      </c>
      <c r="E14" s="13" t="n">
        <f aca="false">B14+C14+D14</f>
        <v>4941</v>
      </c>
      <c r="F14" s="13" t="n">
        <f aca="false">ROUND(E14*Assumptions!B24,0)</f>
        <v>25</v>
      </c>
      <c r="G14" s="13" t="n">
        <f aca="false">ROUND(H13*Assumptions!B52,0)</f>
        <v>5</v>
      </c>
      <c r="H14" s="13" t="n">
        <f aca="false">H13+F14-G14</f>
        <v>110</v>
      </c>
      <c r="I14" s="14" t="n">
        <f aca="false">ROUND(H14*(Assumptions!B15*0.85+Assumptions!B11*0.15),0)</f>
        <v>1262</v>
      </c>
      <c r="J14" s="14" t="n">
        <f aca="false">ROUND(E14*Assumptions!B95*Assumptions!B96*Assumptions!B97*Assumptions!B94,0)</f>
        <v>193</v>
      </c>
      <c r="K14" s="14" t="n">
        <f aca="false">ROUND(E14*Assumptions!B57*Assumptions!B58,0)</f>
        <v>1729</v>
      </c>
      <c r="L14" s="14" t="n">
        <f aca="false">ROUND(IF(A14&lt;Assumptions!B113,0,IF(A14&lt;=18,Assumptions!B105,Assumptions!B107)/1000*Assumptions!B115*0.55+IF(A14&gt;=Assumptions!B114,IF(A14&lt;=18,Assumptions!B105,Assumptions!B107)*Assumptions!B109/1000*Assumptions!B116*0.55,0)),0)</f>
        <v>0</v>
      </c>
      <c r="M14" s="14" t="n">
        <f aca="false">I14+J14+K14+L14</f>
        <v>3184</v>
      </c>
      <c r="N14" s="14" t="n">
        <f aca="false">ROUND(H14*Assumptions!B62*Assumptions!B61,0)+Assumptions!B63+IF(H14&gt;Assumptions!B64,45,0)+Assumptions!B65+Assumptions!B66+Assumptions!B67+Assumptions!B68+Assumptions!B69/12+IF(A14&gt;=3,Assumptions!B72,0)+ROUND(I14*Assumptions!B70+H14*Assumptions!B71,0)+0</f>
        <v>283</v>
      </c>
      <c r="O14" s="14" t="n">
        <f aca="false">M14-N14</f>
        <v>2901</v>
      </c>
      <c r="P14" s="14" t="n">
        <f aca="false">IF((Q13+O14)&lt;N14*Assumptions!B89,0,IF((Q13+O14)&lt;N14*6,ROUND(MAX(O14,0)*Assumptions!B90,0),ROUND(MAX(O14,0)*Assumptions!B91,0)))</f>
        <v>1451</v>
      </c>
      <c r="Q14" s="14" t="n">
        <f aca="false">Q13+O14-P14</f>
        <v>3787</v>
      </c>
    </row>
    <row r="15" customFormat="false" ht="15" hidden="false" customHeight="true" outlineLevel="0" collapsed="false">
      <c r="A15" s="15" t="n">
        <v>12</v>
      </c>
      <c r="B15" s="16" t="n">
        <f aca="false">ROUND(B14*(1+Assumptions!B36),0)</f>
        <v>5754</v>
      </c>
      <c r="C15" s="16" t="n">
        <f aca="false">ROUND(IF(A15&lt;Assumptions!B100,0,IF(A15&lt;=8,Assumptions!B103,IF(A15&lt;=12,Assumptions!B104,IF(A15&lt;=18,Assumptions!B105,IF(A15&lt;=24,Assumptions!B106,Assumptions!B107))))*(1+IF(A15&gt;=Assumptions!B101,Assumptions!B109,0))*Assumptions!B111),0)</f>
        <v>60</v>
      </c>
      <c r="D15" s="16" t="n">
        <f aca="false">ROUND(ROUND(Assumptions!B119*(1+Assumptions!B120)^6*(1+Assumptions!B121)^(A15-6),0)*Assumptions!B123,0)</f>
        <v>5</v>
      </c>
      <c r="E15" s="16" t="n">
        <f aca="false">B15+C15+D15</f>
        <v>5819</v>
      </c>
      <c r="F15" s="16" t="n">
        <f aca="false">ROUND(E15*Assumptions!B24,0)</f>
        <v>29</v>
      </c>
      <c r="G15" s="16" t="n">
        <f aca="false">ROUND(H14*Assumptions!B52,0)</f>
        <v>7</v>
      </c>
      <c r="H15" s="16" t="n">
        <f aca="false">H14+F15-G15</f>
        <v>132</v>
      </c>
      <c r="I15" s="17" t="n">
        <f aca="false">ROUND(H15*(Assumptions!B15*0.85+Assumptions!B11*0.15),0)</f>
        <v>1515</v>
      </c>
      <c r="J15" s="17" t="n">
        <f aca="false">ROUND(E15*Assumptions!B95*Assumptions!B96*Assumptions!B97*Assumptions!B94,0)</f>
        <v>227</v>
      </c>
      <c r="K15" s="17" t="n">
        <f aca="false">ROUND(E15*Assumptions!B57*Assumptions!B58,0)</f>
        <v>2037</v>
      </c>
      <c r="L15" s="17" t="n">
        <f aca="false">ROUND(IF(A15&lt;Assumptions!B113,0,IF(A15&lt;=18,Assumptions!B105,Assumptions!B107)/1000*Assumptions!B115*0.55+IF(A15&gt;=Assumptions!B114,IF(A15&lt;=18,Assumptions!B105,Assumptions!B107)*Assumptions!B109/1000*Assumptions!B116*0.55,0)),0)</f>
        <v>22</v>
      </c>
      <c r="M15" s="17" t="n">
        <f aca="false">I15+J15+K15+L15</f>
        <v>3801</v>
      </c>
      <c r="N15" s="17" t="n">
        <f aca="false">ROUND(H15*Assumptions!B62*Assumptions!B61,0)+Assumptions!B63+IF(H15&gt;Assumptions!B64,45,0)+Assumptions!B65+Assumptions!B66+Assumptions!B67+Assumptions!B68+Assumptions!B69/12+IF(A15&gt;=3,Assumptions!B72,0)+ROUND(I15*Assumptions!B70+H15*Assumptions!B71,0)+0</f>
        <v>303</v>
      </c>
      <c r="O15" s="17" t="n">
        <f aca="false">M15-N15</f>
        <v>3498</v>
      </c>
      <c r="P15" s="17" t="n">
        <f aca="false">IF((Q14+O15)&lt;N15*Assumptions!B89,0,IF((Q14+O15)&lt;N15*6,ROUND(MAX(O15,0)*Assumptions!B90,0),ROUND(MAX(O15,0)*Assumptions!B91,0)))</f>
        <v>1749</v>
      </c>
      <c r="Q15" s="17" t="n">
        <f aca="false">Q14+O15-P15</f>
        <v>5536</v>
      </c>
    </row>
    <row r="16" customFormat="false" ht="15" hidden="false" customHeight="true" outlineLevel="0" collapsed="false">
      <c r="A16" s="5" t="n">
        <v>13</v>
      </c>
      <c r="B16" s="13" t="n">
        <f aca="false">ROUND(B15*(1+Assumptions!B40),0)</f>
        <v>6444</v>
      </c>
      <c r="C16" s="13" t="n">
        <f aca="false">ROUND(IF(A16&lt;Assumptions!B100,0,IF(A16&lt;=8,Assumptions!B103,IF(A16&lt;=12,Assumptions!B104,IF(A16&lt;=18,Assumptions!B105,IF(A16&lt;=24,Assumptions!B106,Assumptions!B107))))*(1+IF(A16&gt;=Assumptions!B101,Assumptions!B109,0))*Assumptions!B111),0)</f>
        <v>150</v>
      </c>
      <c r="D16" s="13" t="n">
        <f aca="false">ROUND(ROUND(Assumptions!B119*(1+Assumptions!B120)^6*(1+Assumptions!B121)^6*(1+Assumptions!B122)^(A16-12),0)*Assumptions!B123,0)</f>
        <v>6</v>
      </c>
      <c r="E16" s="13" t="n">
        <f aca="false">B16+C16+D16</f>
        <v>6600</v>
      </c>
      <c r="F16" s="13" t="n">
        <f aca="false">ROUND(E16*Assumptions!B24,0)</f>
        <v>33</v>
      </c>
      <c r="G16" s="13" t="n">
        <f aca="false">ROUND(H15*Assumptions!B52,0)</f>
        <v>8</v>
      </c>
      <c r="H16" s="13" t="n">
        <f aca="false">H15+F16-G16</f>
        <v>157</v>
      </c>
      <c r="I16" s="14" t="n">
        <f aca="false">ROUND(H16*(Assumptions!B15*0.85+Assumptions!B11*0.15),0)</f>
        <v>1802</v>
      </c>
      <c r="J16" s="14" t="n">
        <f aca="false">ROUND(E16*Assumptions!B95*Assumptions!B96*Assumptions!B97*Assumptions!B94,0)</f>
        <v>257</v>
      </c>
      <c r="K16" s="14" t="n">
        <f aca="false">ROUND(E16*Assumptions!B57*Assumptions!B58,0)</f>
        <v>2310</v>
      </c>
      <c r="L16" s="14" t="n">
        <f aca="false">ROUND(IF(A16&lt;Assumptions!B113,0,IF(A16&lt;=18,Assumptions!B105,Assumptions!B107)/1000*Assumptions!B115*0.55+IF(A16&gt;=Assumptions!B114,IF(A16&lt;=18,Assumptions!B105,Assumptions!B107)*Assumptions!B109/1000*Assumptions!B116*0.55,0)),0)</f>
        <v>22</v>
      </c>
      <c r="M16" s="14" t="n">
        <f aca="false">I16+J16+K16+L16</f>
        <v>4391</v>
      </c>
      <c r="N16" s="14" t="n">
        <f aca="false">ROUND(H16*Assumptions!B62*Assumptions!B61,0)+Assumptions!B63+IF(H16&gt;Assumptions!B64,45,0)+Assumptions!B65+Assumptions!B66+Assumptions!B67+Assumptions!B68+Assumptions!B69/12+IF(A16&gt;=3,Assumptions!B72,0)+ROUND(I16*Assumptions!B70+H16*Assumptions!B71,0)+0</f>
        <v>325</v>
      </c>
      <c r="O16" s="14" t="n">
        <f aca="false">M16-N16</f>
        <v>4066</v>
      </c>
      <c r="P16" s="14" t="n">
        <f aca="false">IF((Q15+O16)&lt;N16*Assumptions!B89,0,IF((Q15+O16)&lt;N16*6,ROUND(MAX(O16,0)*Assumptions!B90,0),ROUND(MAX(O16,0)*Assumptions!B91,0)))</f>
        <v>2033</v>
      </c>
      <c r="Q16" s="14" t="n">
        <f aca="false">Q15+O16-P16</f>
        <v>7569</v>
      </c>
    </row>
    <row r="17" customFormat="false" ht="15" hidden="false" customHeight="true" outlineLevel="0" collapsed="false">
      <c r="A17" s="15" t="n">
        <v>14</v>
      </c>
      <c r="B17" s="16" t="n">
        <f aca="false">ROUND(B16*(1+Assumptions!B40),0)</f>
        <v>7217</v>
      </c>
      <c r="C17" s="16" t="n">
        <f aca="false">ROUND(IF(A17&lt;Assumptions!B100,0,IF(A17&lt;=8,Assumptions!B103,IF(A17&lt;=12,Assumptions!B104,IF(A17&lt;=18,Assumptions!B105,IF(A17&lt;=24,Assumptions!B106,Assumptions!B107))))*(1+IF(A17&gt;=Assumptions!B101,Assumptions!B109,0))*Assumptions!B111),0)</f>
        <v>150</v>
      </c>
      <c r="D17" s="16" t="n">
        <f aca="false">ROUND(ROUND(Assumptions!B119*(1+Assumptions!B120)^6*(1+Assumptions!B121)^6*(1+Assumptions!B122)^(A17-12),0)*Assumptions!B123,0)</f>
        <v>6</v>
      </c>
      <c r="E17" s="16" t="n">
        <f aca="false">B17+C17+D17</f>
        <v>7373</v>
      </c>
      <c r="F17" s="16" t="n">
        <f aca="false">ROUND(E17*Assumptions!B24,0)</f>
        <v>37</v>
      </c>
      <c r="G17" s="16" t="n">
        <f aca="false">ROUND(H16*Assumptions!B52,0)</f>
        <v>9</v>
      </c>
      <c r="H17" s="16" t="n">
        <f aca="false">H16+F17-G17</f>
        <v>185</v>
      </c>
      <c r="I17" s="17" t="n">
        <f aca="false">ROUND(H17*(Assumptions!B15*0.85+Assumptions!B11*0.15),0)</f>
        <v>2123</v>
      </c>
      <c r="J17" s="17" t="n">
        <f aca="false">ROUND(E17*Assumptions!B95*Assumptions!B96*Assumptions!B97*Assumptions!B94,0)</f>
        <v>288</v>
      </c>
      <c r="K17" s="17" t="n">
        <f aca="false">ROUND(E17*Assumptions!B57*Assumptions!B58,0)</f>
        <v>2581</v>
      </c>
      <c r="L17" s="17" t="n">
        <f aca="false">ROUND(IF(A17&lt;Assumptions!B113,0,IF(A17&lt;=18,Assumptions!B105,Assumptions!B107)/1000*Assumptions!B115*0.55+IF(A17&gt;=Assumptions!B114,IF(A17&lt;=18,Assumptions!B105,Assumptions!B107)*Assumptions!B109/1000*Assumptions!B116*0.55,0)),0)</f>
        <v>22</v>
      </c>
      <c r="M17" s="17" t="n">
        <f aca="false">I17+J17+K17+L17</f>
        <v>5014</v>
      </c>
      <c r="N17" s="17" t="n">
        <f aca="false">ROUND(H17*Assumptions!B62*Assumptions!B61,0)+Assumptions!B63+IF(H17&gt;Assumptions!B64,45,0)+Assumptions!B65+Assumptions!B66+Assumptions!B67+Assumptions!B68+Assumptions!B69/12+IF(A17&gt;=3,Assumptions!B72,0)+ROUND(I17*Assumptions!B70+H17*Assumptions!B71,0)+0</f>
        <v>351</v>
      </c>
      <c r="O17" s="17" t="n">
        <f aca="false">M17-N17</f>
        <v>4663</v>
      </c>
      <c r="P17" s="17" t="n">
        <f aca="false">IF((Q16+O17)&lt;N17*Assumptions!B89,0,IF((Q16+O17)&lt;N17*6,ROUND(MAX(O17,0)*Assumptions!B90,0),ROUND(MAX(O17,0)*Assumptions!B91,0)))</f>
        <v>2332</v>
      </c>
      <c r="Q17" s="17" t="n">
        <f aca="false">Q16+O17-P17</f>
        <v>9900</v>
      </c>
    </row>
    <row r="18" customFormat="false" ht="15" hidden="false" customHeight="true" outlineLevel="0" collapsed="false">
      <c r="A18" s="5" t="n">
        <v>15</v>
      </c>
      <c r="B18" s="13" t="n">
        <f aca="false">ROUND(B17*(1+Assumptions!B40),0)</f>
        <v>8083</v>
      </c>
      <c r="C18" s="13" t="n">
        <f aca="false">ROUND(IF(A18&lt;Assumptions!B100,0,IF(A18&lt;=8,Assumptions!B103,IF(A18&lt;=12,Assumptions!B104,IF(A18&lt;=18,Assumptions!B105,IF(A18&lt;=24,Assumptions!B106,Assumptions!B107))))*(1+IF(A18&gt;=Assumptions!B101,Assumptions!B109,0))*Assumptions!B111),0)</f>
        <v>150</v>
      </c>
      <c r="D18" s="13" t="n">
        <f aca="false">ROUND(ROUND(Assumptions!B119*(1+Assumptions!B120)^6*(1+Assumptions!B121)^6*(1+Assumptions!B122)^(A18-12),0)*Assumptions!B123,0)</f>
        <v>7</v>
      </c>
      <c r="E18" s="13" t="n">
        <f aca="false">B18+C18+D18</f>
        <v>8240</v>
      </c>
      <c r="F18" s="13" t="n">
        <f aca="false">ROUND(E18*Assumptions!B24,0)</f>
        <v>41</v>
      </c>
      <c r="G18" s="13" t="n">
        <f aca="false">ROUND(H17*Assumptions!B52,0)</f>
        <v>11</v>
      </c>
      <c r="H18" s="13" t="n">
        <f aca="false">H17+F18-G18</f>
        <v>215</v>
      </c>
      <c r="I18" s="14" t="n">
        <f aca="false">ROUND(H18*(Assumptions!B15*0.85+Assumptions!B11*0.15),0)</f>
        <v>2467</v>
      </c>
      <c r="J18" s="14" t="n">
        <f aca="false">ROUND(E18*Assumptions!B95*Assumptions!B96*Assumptions!B97*Assumptions!B94,0)</f>
        <v>321</v>
      </c>
      <c r="K18" s="14" t="n">
        <f aca="false">ROUND(E18*Assumptions!B57*Assumptions!B58,0)</f>
        <v>2884</v>
      </c>
      <c r="L18" s="14" t="n">
        <f aca="false">ROUND(IF(A18&lt;Assumptions!B113,0,IF(A18&lt;=18,Assumptions!B105,Assumptions!B107)/1000*Assumptions!B115*0.55+IF(A18&gt;=Assumptions!B114,IF(A18&lt;=18,Assumptions!B105,Assumptions!B107)*Assumptions!B109/1000*Assumptions!B116*0.55,0)),0)</f>
        <v>22</v>
      </c>
      <c r="M18" s="14" t="n">
        <f aca="false">I18+J18+K18+L18</f>
        <v>5694</v>
      </c>
      <c r="N18" s="14" t="n">
        <f aca="false">ROUND(H18*Assumptions!B62*Assumptions!B61,0)+Assumptions!B63+IF(H18&gt;Assumptions!B64,45,0)+Assumptions!B65+Assumptions!B66+Assumptions!B67+Assumptions!B68+Assumptions!B69/12+IF(A18&gt;=3,Assumptions!B72,0)+ROUND(I18*Assumptions!B70+H18*Assumptions!B71,0)+0</f>
        <v>378</v>
      </c>
      <c r="O18" s="14" t="n">
        <f aca="false">M18-N18</f>
        <v>5316</v>
      </c>
      <c r="P18" s="14" t="n">
        <f aca="false">IF((Q17+O18)&lt;N18*Assumptions!B89,0,IF((Q17+O18)&lt;N18*6,ROUND(MAX(O18,0)*Assumptions!B90,0),ROUND(MAX(O18,0)*Assumptions!B91,0)))</f>
        <v>2658</v>
      </c>
      <c r="Q18" s="14" t="n">
        <f aca="false">Q17+O18-P18</f>
        <v>12558</v>
      </c>
    </row>
    <row r="19" customFormat="false" ht="15" hidden="false" customHeight="true" outlineLevel="0" collapsed="false">
      <c r="A19" s="15" t="n">
        <v>16</v>
      </c>
      <c r="B19" s="16" t="n">
        <f aca="false">ROUND(B18*(1+Assumptions!B40),0)</f>
        <v>9053</v>
      </c>
      <c r="C19" s="16" t="n">
        <f aca="false">ROUND(IF(A19&lt;Assumptions!B100,0,IF(A19&lt;=8,Assumptions!B103,IF(A19&lt;=12,Assumptions!B104,IF(A19&lt;=18,Assumptions!B105,IF(A19&lt;=24,Assumptions!B106,Assumptions!B107))))*(1+IF(A19&gt;=Assumptions!B101,Assumptions!B109,0))*Assumptions!B111),0)</f>
        <v>150</v>
      </c>
      <c r="D19" s="16" t="n">
        <f aca="false">ROUND(ROUND(Assumptions!B119*(1+Assumptions!B120)^6*(1+Assumptions!B121)^6*(1+Assumptions!B122)^(A19-12),0)*Assumptions!B123,0)</f>
        <v>8</v>
      </c>
      <c r="E19" s="16" t="n">
        <f aca="false">B19+C19+D19</f>
        <v>9211</v>
      </c>
      <c r="F19" s="16" t="n">
        <f aca="false">ROUND(E19*Assumptions!B24,0)</f>
        <v>46</v>
      </c>
      <c r="G19" s="16" t="n">
        <f aca="false">ROUND(H18*Assumptions!B52,0)</f>
        <v>13</v>
      </c>
      <c r="H19" s="16" t="n">
        <f aca="false">H18+F19-G19</f>
        <v>248</v>
      </c>
      <c r="I19" s="17" t="n">
        <f aca="false">ROUND(H19*(Assumptions!B15*0.85+Assumptions!B11*0.15),0)</f>
        <v>2846</v>
      </c>
      <c r="J19" s="17" t="n">
        <f aca="false">ROUND(E19*Assumptions!B95*Assumptions!B96*Assumptions!B97*Assumptions!B94,0)</f>
        <v>359</v>
      </c>
      <c r="K19" s="17" t="n">
        <f aca="false">ROUND(E19*Assumptions!B57*Assumptions!B58,0)</f>
        <v>3224</v>
      </c>
      <c r="L19" s="17" t="n">
        <f aca="false">ROUND(IF(A19&lt;Assumptions!B113,0,IF(A19&lt;=18,Assumptions!B105,Assumptions!B107)/1000*Assumptions!B115*0.55+IF(A19&gt;=Assumptions!B114,IF(A19&lt;=18,Assumptions!B105,Assumptions!B107)*Assumptions!B109/1000*Assumptions!B116*0.55,0)),0)</f>
        <v>26</v>
      </c>
      <c r="M19" s="17" t="n">
        <f aca="false">I19+J19+K19+L19</f>
        <v>6455</v>
      </c>
      <c r="N19" s="17" t="n">
        <f aca="false">ROUND(H19*Assumptions!B62*Assumptions!B61,0)+Assumptions!B63+IF(H19&gt;Assumptions!B64,45,0)+Assumptions!B65+Assumptions!B66+Assumptions!B67+Assumptions!B68+Assumptions!B69/12+IF(A19&gt;=3,Assumptions!B72,0)+ROUND(I19*Assumptions!B70+H19*Assumptions!B71,0)+0</f>
        <v>408</v>
      </c>
      <c r="O19" s="17" t="n">
        <f aca="false">M19-N19</f>
        <v>6047</v>
      </c>
      <c r="P19" s="17" t="n">
        <f aca="false">IF((Q18+O19)&lt;N19*Assumptions!B89,0,IF((Q18+O19)&lt;N19*6,ROUND(MAX(O19,0)*Assumptions!B90,0),ROUND(MAX(O19,0)*Assumptions!B91,0)))</f>
        <v>3024</v>
      </c>
      <c r="Q19" s="17" t="n">
        <f aca="false">Q18+O19-P19</f>
        <v>15581</v>
      </c>
    </row>
    <row r="20" customFormat="false" ht="15" hidden="false" customHeight="true" outlineLevel="0" collapsed="false">
      <c r="A20" s="5" t="n">
        <v>17</v>
      </c>
      <c r="B20" s="13" t="n">
        <f aca="false">ROUND(B19*(1+Assumptions!B40),0)</f>
        <v>10139</v>
      </c>
      <c r="C20" s="13" t="n">
        <f aca="false">ROUND(IF(A20&lt;Assumptions!B100,0,IF(A20&lt;=8,Assumptions!B103,IF(A20&lt;=12,Assumptions!B104,IF(A20&lt;=18,Assumptions!B105,IF(A20&lt;=24,Assumptions!B106,Assumptions!B107))))*(1+IF(A20&gt;=Assumptions!B101,Assumptions!B109,0))*Assumptions!B111),0)</f>
        <v>150</v>
      </c>
      <c r="D20" s="13" t="n">
        <f aca="false">ROUND(ROUND(Assumptions!B119*(1+Assumptions!B120)^6*(1+Assumptions!B121)^6*(1+Assumptions!B122)^(A20-12),0)*Assumptions!B123,0)</f>
        <v>8</v>
      </c>
      <c r="E20" s="13" t="n">
        <f aca="false">B20+C20+D20</f>
        <v>10297</v>
      </c>
      <c r="F20" s="13" t="n">
        <f aca="false">ROUND(E20*Assumptions!B24,0)</f>
        <v>51</v>
      </c>
      <c r="G20" s="13" t="n">
        <f aca="false">ROUND(H19*Assumptions!B52,0)</f>
        <v>15</v>
      </c>
      <c r="H20" s="13" t="n">
        <f aca="false">H19+F20-G20</f>
        <v>284</v>
      </c>
      <c r="I20" s="14" t="n">
        <f aca="false">ROUND(H20*(Assumptions!B15*0.85+Assumptions!B11*0.15),0)</f>
        <v>3259</v>
      </c>
      <c r="J20" s="14" t="n">
        <f aca="false">ROUND(E20*Assumptions!B95*Assumptions!B96*Assumptions!B97*Assumptions!B94,0)</f>
        <v>402</v>
      </c>
      <c r="K20" s="14" t="n">
        <f aca="false">ROUND(E20*Assumptions!B57*Assumptions!B58,0)</f>
        <v>3604</v>
      </c>
      <c r="L20" s="14" t="n">
        <f aca="false">ROUND(IF(A20&lt;Assumptions!B113,0,IF(A20&lt;=18,Assumptions!B105,Assumptions!B107)/1000*Assumptions!B115*0.55+IF(A20&gt;=Assumptions!B114,IF(A20&lt;=18,Assumptions!B105,Assumptions!B107)*Assumptions!B109/1000*Assumptions!B116*0.55,0)),0)</f>
        <v>26</v>
      </c>
      <c r="M20" s="14" t="n">
        <f aca="false">I20+J20+K20+L20</f>
        <v>7291</v>
      </c>
      <c r="N20" s="14" t="n">
        <f aca="false">ROUND(H20*Assumptions!B62*Assumptions!B61,0)+Assumptions!B63+IF(H20&gt;Assumptions!B64,45,0)+Assumptions!B65+Assumptions!B66+Assumptions!B67+Assumptions!B68+Assumptions!B69/12+IF(A20&gt;=3,Assumptions!B72,0)+ROUND(I20*Assumptions!B70+H20*Assumptions!B71,0)+0</f>
        <v>442</v>
      </c>
      <c r="O20" s="14" t="n">
        <f aca="false">M20-N20</f>
        <v>6849</v>
      </c>
      <c r="P20" s="14" t="n">
        <f aca="false">IF((Q19+O20)&lt;N20*Assumptions!B89,0,IF((Q19+O20)&lt;N20*6,ROUND(MAX(O20,0)*Assumptions!B90,0),ROUND(MAX(O20,0)*Assumptions!B91,0)))</f>
        <v>3425</v>
      </c>
      <c r="Q20" s="14" t="n">
        <f aca="false">Q19+O20-P20</f>
        <v>19005</v>
      </c>
    </row>
    <row r="21" customFormat="false" ht="15" hidden="false" customHeight="true" outlineLevel="0" collapsed="false">
      <c r="A21" s="15" t="n">
        <v>18</v>
      </c>
      <c r="B21" s="16" t="n">
        <f aca="false">ROUND(B20*(1+Assumptions!B40),0)</f>
        <v>11356</v>
      </c>
      <c r="C21" s="16" t="n">
        <f aca="false">ROUND(IF(A21&lt;Assumptions!B100,0,IF(A21&lt;=8,Assumptions!B103,IF(A21&lt;=12,Assumptions!B104,IF(A21&lt;=18,Assumptions!B105,IF(A21&lt;=24,Assumptions!B106,Assumptions!B107))))*(1+IF(A21&gt;=Assumptions!B101,Assumptions!B109,0))*Assumptions!B111),0)</f>
        <v>150</v>
      </c>
      <c r="D21" s="16" t="n">
        <f aca="false">ROUND(ROUND(Assumptions!B119*(1+Assumptions!B120)^6*(1+Assumptions!B121)^6*(1+Assumptions!B122)^(A21-12),0)*Assumptions!B123,0)</f>
        <v>9</v>
      </c>
      <c r="E21" s="16" t="n">
        <f aca="false">B21+C21+D21</f>
        <v>11515</v>
      </c>
      <c r="F21" s="16" t="n">
        <f aca="false">ROUND(E21*Assumptions!B24,0)</f>
        <v>58</v>
      </c>
      <c r="G21" s="16" t="n">
        <f aca="false">ROUND(H20*Assumptions!B52,0)</f>
        <v>17</v>
      </c>
      <c r="H21" s="16" t="n">
        <f aca="false">H20+F21-G21</f>
        <v>325</v>
      </c>
      <c r="I21" s="17" t="n">
        <f aca="false">ROUND(H21*(Assumptions!B15*0.85+Assumptions!B11*0.15),0)</f>
        <v>3729</v>
      </c>
      <c r="J21" s="17" t="n">
        <f aca="false">ROUND(E21*Assumptions!B95*Assumptions!B96*Assumptions!B97*Assumptions!B94,0)</f>
        <v>449</v>
      </c>
      <c r="K21" s="17" t="n">
        <f aca="false">ROUND(E21*Assumptions!B57*Assumptions!B58,0)</f>
        <v>4030</v>
      </c>
      <c r="L21" s="17" t="n">
        <f aca="false">ROUND(IF(A21&lt;Assumptions!B113,0,IF(A21&lt;=18,Assumptions!B105,Assumptions!B107)/1000*Assumptions!B115*0.55+IF(A21&gt;=Assumptions!B114,IF(A21&lt;=18,Assumptions!B105,Assumptions!B107)*Assumptions!B109/1000*Assumptions!B116*0.55,0)),0)</f>
        <v>26</v>
      </c>
      <c r="M21" s="17" t="n">
        <f aca="false">I21+J21+K21+L21</f>
        <v>8234</v>
      </c>
      <c r="N21" s="17" t="n">
        <f aca="false">ROUND(H21*Assumptions!B62*Assumptions!B61,0)+Assumptions!B63+IF(H21&gt;Assumptions!B64,45,0)+Assumptions!B65+Assumptions!B66+Assumptions!B67+Assumptions!B68+Assumptions!B69/12+IF(A21&gt;=3,Assumptions!B72,0)+ROUND(I21*Assumptions!B70+H21*Assumptions!B71,0)+0</f>
        <v>479</v>
      </c>
      <c r="O21" s="17" t="n">
        <f aca="false">M21-N21</f>
        <v>7755</v>
      </c>
      <c r="P21" s="17" t="n">
        <f aca="false">IF((Q20+O21)&lt;N21*Assumptions!B89,0,IF((Q20+O21)&lt;N21*6,ROUND(MAX(O21,0)*Assumptions!B90,0),ROUND(MAX(O21,0)*Assumptions!B91,0)))</f>
        <v>3878</v>
      </c>
      <c r="Q21" s="17" t="n">
        <f aca="false">Q20+O21-P21</f>
        <v>22882</v>
      </c>
    </row>
    <row r="22" customFormat="false" ht="15" hidden="false" customHeight="true" outlineLevel="0" collapsed="false">
      <c r="A22" s="5" t="n">
        <v>19</v>
      </c>
      <c r="B22" s="13" t="n">
        <f aca="false">ROUND(B21*(1+Assumptions!B40),0)</f>
        <v>12719</v>
      </c>
      <c r="C22" s="13" t="n">
        <f aca="false">ROUND(IF(A22&lt;Assumptions!B100,0,IF(A22&lt;=8,Assumptions!B103,IF(A22&lt;=12,Assumptions!B104,IF(A22&lt;=18,Assumptions!B105,IF(A22&lt;=24,Assumptions!B106,Assumptions!B107))))*(1+IF(A22&gt;=Assumptions!B101,Assumptions!B109,0))*Assumptions!B111),0)</f>
        <v>300</v>
      </c>
      <c r="D22" s="13" t="n">
        <f aca="false">ROUND(ROUND(Assumptions!B119*(1+Assumptions!B120)^6*(1+Assumptions!B121)^6*(1+Assumptions!B122)^(A22-12),0)*Assumptions!B123,0)</f>
        <v>10</v>
      </c>
      <c r="E22" s="13" t="n">
        <f aca="false">B22+C22+D22</f>
        <v>13029</v>
      </c>
      <c r="F22" s="13" t="n">
        <f aca="false">ROUND(E22*Assumptions!B24,0)</f>
        <v>65</v>
      </c>
      <c r="G22" s="13" t="n">
        <f aca="false">ROUND(H21*Assumptions!B52,0)</f>
        <v>20</v>
      </c>
      <c r="H22" s="13" t="n">
        <f aca="false">H21+F22-G22</f>
        <v>370</v>
      </c>
      <c r="I22" s="14" t="n">
        <f aca="false">ROUND(H22*(Assumptions!B15*0.85+Assumptions!B11*0.15),0)</f>
        <v>4246</v>
      </c>
      <c r="J22" s="14" t="n">
        <f aca="false">ROUND(E22*Assumptions!B95*Assumptions!B96*Assumptions!B97*Assumptions!B94,0)</f>
        <v>508</v>
      </c>
      <c r="K22" s="14" t="n">
        <f aca="false">ROUND(E22*Assumptions!B57*Assumptions!B58,0)</f>
        <v>4560</v>
      </c>
      <c r="L22" s="14" t="n">
        <f aca="false">ROUND(IF(A22&lt;Assumptions!B113,0,IF(A22&lt;=18,Assumptions!B105,Assumptions!B107)/1000*Assumptions!B115*0.55+IF(A22&gt;=Assumptions!B114,IF(A22&lt;=18,Assumptions!B105,Assumptions!B107)*Assumptions!B109/1000*Assumptions!B116*0.55,0)),0)</f>
        <v>94</v>
      </c>
      <c r="M22" s="14" t="n">
        <f aca="false">I22+J22+K22+L22</f>
        <v>9408</v>
      </c>
      <c r="N22" s="14" t="n">
        <f aca="false">ROUND(H22*Assumptions!B62*Assumptions!B61,0)+Assumptions!B63+IF(H22&gt;Assumptions!B64,45,0)+Assumptions!B65+Assumptions!B66+Assumptions!B67+Assumptions!B68+Assumptions!B69/12+IF(A22&gt;=3,Assumptions!B72,0)+ROUND(I22*Assumptions!B70+H22*Assumptions!B71,0)+0</f>
        <v>520</v>
      </c>
      <c r="O22" s="14" t="n">
        <f aca="false">M22-N22</f>
        <v>8888</v>
      </c>
      <c r="P22" s="14" t="n">
        <f aca="false">IF((Q21+O22)&lt;N22*Assumptions!B89,0,IF((Q21+O22)&lt;N22*6,ROUND(MAX(O22,0)*Assumptions!B90,0),ROUND(MAX(O22,0)*Assumptions!B91,0)))</f>
        <v>4444</v>
      </c>
      <c r="Q22" s="14" t="n">
        <f aca="false">Q21+O22-P22</f>
        <v>27326</v>
      </c>
    </row>
    <row r="23" customFormat="false" ht="15" hidden="false" customHeight="true" outlineLevel="0" collapsed="false">
      <c r="A23" s="15" t="n">
        <v>20</v>
      </c>
      <c r="B23" s="16" t="n">
        <f aca="false">ROUND(B22*(1+Assumptions!B40),0)</f>
        <v>14245</v>
      </c>
      <c r="C23" s="16" t="n">
        <f aca="false">ROUND(IF(A23&lt;Assumptions!B100,0,IF(A23&lt;=8,Assumptions!B103,IF(A23&lt;=12,Assumptions!B104,IF(A23&lt;=18,Assumptions!B105,IF(A23&lt;=24,Assumptions!B106,Assumptions!B107))))*(1+IF(A23&gt;=Assumptions!B101,Assumptions!B109,0))*Assumptions!B111),0)</f>
        <v>300</v>
      </c>
      <c r="D23" s="16" t="n">
        <f aca="false">ROUND(ROUND(Assumptions!B119*(1+Assumptions!B120)^6*(1+Assumptions!B121)^6*(1+Assumptions!B122)^(A23-12),0)*Assumptions!B123,0)</f>
        <v>11</v>
      </c>
      <c r="E23" s="16" t="n">
        <f aca="false">B23+C23+D23</f>
        <v>14556</v>
      </c>
      <c r="F23" s="16" t="n">
        <f aca="false">ROUND(E23*Assumptions!B24,0)</f>
        <v>73</v>
      </c>
      <c r="G23" s="16" t="n">
        <f aca="false">ROUND(H22*Assumptions!B52,0)</f>
        <v>22</v>
      </c>
      <c r="H23" s="16" t="n">
        <f aca="false">H22+F23-G23</f>
        <v>421</v>
      </c>
      <c r="I23" s="17" t="n">
        <f aca="false">ROUND(H23*(Assumptions!B15*0.85+Assumptions!B11*0.15),0)</f>
        <v>4831</v>
      </c>
      <c r="J23" s="17" t="n">
        <f aca="false">ROUND(E23*Assumptions!B95*Assumptions!B96*Assumptions!B97*Assumptions!B94,0)</f>
        <v>568</v>
      </c>
      <c r="K23" s="17" t="n">
        <f aca="false">ROUND(E23*Assumptions!B57*Assumptions!B58,0)</f>
        <v>5095</v>
      </c>
      <c r="L23" s="17" t="n">
        <f aca="false">ROUND(IF(A23&lt;Assumptions!B113,0,IF(A23&lt;=18,Assumptions!B105,Assumptions!B107)/1000*Assumptions!B115*0.55+IF(A23&gt;=Assumptions!B114,IF(A23&lt;=18,Assumptions!B105,Assumptions!B107)*Assumptions!B109/1000*Assumptions!B116*0.55,0)),0)</f>
        <v>94</v>
      </c>
      <c r="M23" s="17" t="n">
        <f aca="false">I23+J23+K23+L23</f>
        <v>10588</v>
      </c>
      <c r="N23" s="17" t="n">
        <f aca="false">ROUND(H23*Assumptions!B62*Assumptions!B61,0)+Assumptions!B63+IF(H23&gt;Assumptions!B64,45,0)+Assumptions!B65+Assumptions!B66+Assumptions!B67+Assumptions!B68+Assumptions!B69/12+IF(A23&gt;=3,Assumptions!B72,0)+ROUND(I23*Assumptions!B70+H23*Assumptions!B71,0)+0</f>
        <v>566</v>
      </c>
      <c r="O23" s="17" t="n">
        <f aca="false">M23-N23</f>
        <v>10022</v>
      </c>
      <c r="P23" s="17" t="n">
        <f aca="false">IF((Q22+O23)&lt;N23*Assumptions!B89,0,IF((Q22+O23)&lt;N23*6,ROUND(MAX(O23,0)*Assumptions!B90,0),ROUND(MAX(O23,0)*Assumptions!B91,0)))</f>
        <v>5011</v>
      </c>
      <c r="Q23" s="17" t="n">
        <f aca="false">Q22+O23-P23</f>
        <v>32337</v>
      </c>
    </row>
    <row r="24" customFormat="false" ht="15" hidden="false" customHeight="true" outlineLevel="0" collapsed="false">
      <c r="A24" s="5" t="n">
        <v>21</v>
      </c>
      <c r="B24" s="13" t="n">
        <f aca="false">ROUND(B23*(1+Assumptions!B40),0)</f>
        <v>15954</v>
      </c>
      <c r="C24" s="13" t="n">
        <f aca="false">ROUND(IF(A24&lt;Assumptions!B100,0,IF(A24&lt;=8,Assumptions!B103,IF(A24&lt;=12,Assumptions!B104,IF(A24&lt;=18,Assumptions!B105,IF(A24&lt;=24,Assumptions!B106,Assumptions!B107))))*(1+IF(A24&gt;=Assumptions!B101,Assumptions!B109,0))*Assumptions!B111),0)</f>
        <v>300</v>
      </c>
      <c r="D24" s="13" t="n">
        <f aca="false">ROUND(ROUND(Assumptions!B119*(1+Assumptions!B120)^6*(1+Assumptions!B121)^6*(1+Assumptions!B122)^(A24-12),0)*Assumptions!B123,0)</f>
        <v>12</v>
      </c>
      <c r="E24" s="13" t="n">
        <f aca="false">B24+C24+D24</f>
        <v>16266</v>
      </c>
      <c r="F24" s="13" t="n">
        <f aca="false">ROUND(E24*Assumptions!B24,0)</f>
        <v>81</v>
      </c>
      <c r="G24" s="13" t="n">
        <f aca="false">ROUND(H23*Assumptions!B52,0)</f>
        <v>25</v>
      </c>
      <c r="H24" s="13" t="n">
        <f aca="false">H23+F24-G24</f>
        <v>477</v>
      </c>
      <c r="I24" s="14" t="n">
        <f aca="false">ROUND(H24*(Assumptions!B15*0.85+Assumptions!B11*0.15),0)</f>
        <v>5474</v>
      </c>
      <c r="J24" s="14" t="n">
        <f aca="false">ROUND(E24*Assumptions!B95*Assumptions!B96*Assumptions!B97*Assumptions!B94,0)</f>
        <v>634</v>
      </c>
      <c r="K24" s="14" t="n">
        <f aca="false">ROUND(E24*Assumptions!B57*Assumptions!B58,0)</f>
        <v>5693</v>
      </c>
      <c r="L24" s="14" t="n">
        <f aca="false">ROUND(IF(A24&lt;Assumptions!B113,0,IF(A24&lt;=18,Assumptions!B105,Assumptions!B107)/1000*Assumptions!B115*0.55+IF(A24&gt;=Assumptions!B114,IF(A24&lt;=18,Assumptions!B105,Assumptions!B107)*Assumptions!B109/1000*Assumptions!B116*0.55,0)),0)</f>
        <v>94</v>
      </c>
      <c r="M24" s="14" t="n">
        <f aca="false">I24+J24+K24+L24</f>
        <v>11895</v>
      </c>
      <c r="N24" s="14" t="n">
        <f aca="false">ROUND(H24*Assumptions!B62*Assumptions!B61,0)+Assumptions!B63+IF(H24&gt;Assumptions!B64,45,0)+Assumptions!B65+Assumptions!B66+Assumptions!B67+Assumptions!B68+Assumptions!B69/12+IF(A24&gt;=3,Assumptions!B72,0)+ROUND(I24*Assumptions!B70+H24*Assumptions!B71,0)+0</f>
        <v>618</v>
      </c>
      <c r="O24" s="14" t="n">
        <f aca="false">M24-N24</f>
        <v>11277</v>
      </c>
      <c r="P24" s="14" t="n">
        <f aca="false">IF((Q23+O24)&lt;N24*Assumptions!B89,0,IF((Q23+O24)&lt;N24*6,ROUND(MAX(O24,0)*Assumptions!B90,0),ROUND(MAX(O24,0)*Assumptions!B91,0)))</f>
        <v>5639</v>
      </c>
      <c r="Q24" s="14" t="n">
        <f aca="false">Q23+O24-P24</f>
        <v>37975</v>
      </c>
    </row>
    <row r="25" customFormat="false" ht="15" hidden="false" customHeight="true" outlineLevel="0" collapsed="false">
      <c r="A25" s="15" t="n">
        <v>22</v>
      </c>
      <c r="B25" s="16" t="n">
        <f aca="false">ROUND(B24*(1+Assumptions!B40),0)</f>
        <v>17868</v>
      </c>
      <c r="C25" s="16" t="n">
        <f aca="false">ROUND(IF(A25&lt;Assumptions!B100,0,IF(A25&lt;=8,Assumptions!B103,IF(A25&lt;=12,Assumptions!B104,IF(A25&lt;=18,Assumptions!B105,IF(A25&lt;=24,Assumptions!B106,Assumptions!B107))))*(1+IF(A25&gt;=Assumptions!B101,Assumptions!B109,0))*Assumptions!B111),0)</f>
        <v>300</v>
      </c>
      <c r="D25" s="16" t="n">
        <f aca="false">ROUND(ROUND(Assumptions!B119*(1+Assumptions!B120)^6*(1+Assumptions!B121)^6*(1+Assumptions!B122)^(A25-12),0)*Assumptions!B123,0)</f>
        <v>13</v>
      </c>
      <c r="E25" s="16" t="n">
        <f aca="false">B25+C25+D25</f>
        <v>18181</v>
      </c>
      <c r="F25" s="16" t="n">
        <f aca="false">ROUND(E25*Assumptions!B24,0)</f>
        <v>91</v>
      </c>
      <c r="G25" s="16" t="n">
        <f aca="false">ROUND(H24*Assumptions!B52,0)</f>
        <v>29</v>
      </c>
      <c r="H25" s="16" t="n">
        <f aca="false">H24+F25-G25</f>
        <v>539</v>
      </c>
      <c r="I25" s="17" t="n">
        <f aca="false">ROUND(H25*(Assumptions!B15*0.85+Assumptions!B11*0.15),0)</f>
        <v>6185</v>
      </c>
      <c r="J25" s="17" t="n">
        <f aca="false">ROUND(E25*Assumptions!B95*Assumptions!B96*Assumptions!B97*Assumptions!B94,0)</f>
        <v>709</v>
      </c>
      <c r="K25" s="17" t="n">
        <f aca="false">ROUND(E25*Assumptions!B57*Assumptions!B58,0)</f>
        <v>6363</v>
      </c>
      <c r="L25" s="17" t="n">
        <f aca="false">ROUND(IF(A25&lt;Assumptions!B113,0,IF(A25&lt;=18,Assumptions!B105,Assumptions!B107)/1000*Assumptions!B115*0.55+IF(A25&gt;=Assumptions!B114,IF(A25&lt;=18,Assumptions!B105,Assumptions!B107)*Assumptions!B109/1000*Assumptions!B116*0.55,0)),0)</f>
        <v>94</v>
      </c>
      <c r="M25" s="17" t="n">
        <f aca="false">I25+J25+K25+L25</f>
        <v>13351</v>
      </c>
      <c r="N25" s="17" t="n">
        <f aca="false">ROUND(H25*Assumptions!B62*Assumptions!B61,0)+Assumptions!B63+IF(H25&gt;Assumptions!B64,45,0)+Assumptions!B65+Assumptions!B66+Assumptions!B67+Assumptions!B68+Assumptions!B69/12+IF(A25&gt;=3,Assumptions!B72,0)+ROUND(I25*Assumptions!B70+H25*Assumptions!B71,0)+0</f>
        <v>719</v>
      </c>
      <c r="O25" s="17" t="n">
        <f aca="false">M25-N25</f>
        <v>12632</v>
      </c>
      <c r="P25" s="17" t="n">
        <f aca="false">IF((Q24+O25)&lt;N25*Assumptions!B89,0,IF((Q24+O25)&lt;N25*6,ROUND(MAX(O25,0)*Assumptions!B90,0),ROUND(MAX(O25,0)*Assumptions!B91,0)))</f>
        <v>6316</v>
      </c>
      <c r="Q25" s="17" t="n">
        <f aca="false">Q24+O25-P25</f>
        <v>44291</v>
      </c>
    </row>
    <row r="26" customFormat="false" ht="15" hidden="false" customHeight="true" outlineLevel="0" collapsed="false">
      <c r="A26" s="5" t="n">
        <v>23</v>
      </c>
      <c r="B26" s="13" t="n">
        <f aca="false">ROUND(B25*(1+Assumptions!B40),0)</f>
        <v>20012</v>
      </c>
      <c r="C26" s="13" t="n">
        <f aca="false">ROUND(IF(A26&lt;Assumptions!B100,0,IF(A26&lt;=8,Assumptions!B103,IF(A26&lt;=12,Assumptions!B104,IF(A26&lt;=18,Assumptions!B105,IF(A26&lt;=24,Assumptions!B106,Assumptions!B107))))*(1+IF(A26&gt;=Assumptions!B101,Assumptions!B109,0))*Assumptions!B111),0)</f>
        <v>300</v>
      </c>
      <c r="D26" s="13" t="n">
        <f aca="false">ROUND(ROUND(Assumptions!B119*(1+Assumptions!B120)^6*(1+Assumptions!B121)^6*(1+Assumptions!B122)^(A26-12),0)*Assumptions!B123,0)</f>
        <v>15</v>
      </c>
      <c r="E26" s="13" t="n">
        <f aca="false">B26+C26+D26</f>
        <v>20327</v>
      </c>
      <c r="F26" s="13" t="n">
        <f aca="false">ROUND(E26*Assumptions!B24,0)</f>
        <v>102</v>
      </c>
      <c r="G26" s="13" t="n">
        <f aca="false">ROUND(H25*Assumptions!B52,0)</f>
        <v>32</v>
      </c>
      <c r="H26" s="13" t="n">
        <f aca="false">H25+F26-G26</f>
        <v>609</v>
      </c>
      <c r="I26" s="14" t="n">
        <f aca="false">ROUND(H26*(Assumptions!B15*0.85+Assumptions!B11*0.15),0)</f>
        <v>6988</v>
      </c>
      <c r="J26" s="14" t="n">
        <f aca="false">ROUND(E26*Assumptions!B95*Assumptions!B96*Assumptions!B97*Assumptions!B94,0)</f>
        <v>793</v>
      </c>
      <c r="K26" s="14" t="n">
        <f aca="false">ROUND(E26*Assumptions!B57*Assumptions!B58,0)</f>
        <v>7114</v>
      </c>
      <c r="L26" s="14" t="n">
        <f aca="false">ROUND(IF(A26&lt;Assumptions!B113,0,IF(A26&lt;=18,Assumptions!B105,Assumptions!B107)/1000*Assumptions!B115*0.55+IF(A26&gt;=Assumptions!B114,IF(A26&lt;=18,Assumptions!B105,Assumptions!B107)*Assumptions!B109/1000*Assumptions!B116*0.55,0)),0)</f>
        <v>94</v>
      </c>
      <c r="M26" s="14" t="n">
        <f aca="false">I26+J26+K26+L26</f>
        <v>14989</v>
      </c>
      <c r="N26" s="14" t="n">
        <f aca="false">ROUND(H26*Assumptions!B62*Assumptions!B61,0)+Assumptions!B63+IF(H26&gt;Assumptions!B64,45,0)+Assumptions!B65+Assumptions!B66+Assumptions!B67+Assumptions!B68+Assumptions!B69/12+IF(A26&gt;=3,Assumptions!B72,0)+ROUND(I26*Assumptions!B70+H26*Assumptions!B71,0)+0</f>
        <v>783</v>
      </c>
      <c r="O26" s="14" t="n">
        <f aca="false">M26-N26</f>
        <v>14206</v>
      </c>
      <c r="P26" s="14" t="n">
        <f aca="false">IF((Q25+O26)&lt;N26*Assumptions!B89,0,IF((Q25+O26)&lt;N26*6,ROUND(MAX(O26,0)*Assumptions!B90,0),ROUND(MAX(O26,0)*Assumptions!B91,0)))</f>
        <v>7103</v>
      </c>
      <c r="Q26" s="14" t="n">
        <f aca="false">Q25+O26-P26</f>
        <v>51394</v>
      </c>
    </row>
    <row r="27" customFormat="false" ht="15" hidden="false" customHeight="true" outlineLevel="0" collapsed="false">
      <c r="A27" s="15" t="n">
        <v>24</v>
      </c>
      <c r="B27" s="16" t="n">
        <f aca="false">ROUND(B26*(1+Assumptions!B40),0)</f>
        <v>22413</v>
      </c>
      <c r="C27" s="16" t="n">
        <f aca="false">ROUND(IF(A27&lt;Assumptions!B100,0,IF(A27&lt;=8,Assumptions!B103,IF(A27&lt;=12,Assumptions!B104,IF(A27&lt;=18,Assumptions!B105,IF(A27&lt;=24,Assumptions!B106,Assumptions!B107))))*(1+IF(A27&gt;=Assumptions!B101,Assumptions!B109,0))*Assumptions!B111),0)</f>
        <v>300</v>
      </c>
      <c r="D27" s="16" t="n">
        <f aca="false">ROUND(ROUND(Assumptions!B119*(1+Assumptions!B120)^6*(1+Assumptions!B121)^6*(1+Assumptions!B122)^(A27-12),0)*Assumptions!B123,0)</f>
        <v>16</v>
      </c>
      <c r="E27" s="16" t="n">
        <f aca="false">B27+C27+D27</f>
        <v>22729</v>
      </c>
      <c r="F27" s="16" t="n">
        <f aca="false">ROUND(E27*Assumptions!B24,0)</f>
        <v>114</v>
      </c>
      <c r="G27" s="16" t="n">
        <f aca="false">ROUND(H26*Assumptions!B52,0)</f>
        <v>37</v>
      </c>
      <c r="H27" s="16" t="n">
        <f aca="false">H26+F27-G27</f>
        <v>686</v>
      </c>
      <c r="I27" s="17" t="n">
        <f aca="false">ROUND(H27*(Assumptions!B15*0.85+Assumptions!B11*0.15),0)</f>
        <v>7872</v>
      </c>
      <c r="J27" s="17" t="n">
        <f aca="false">ROUND(E27*Assumptions!B95*Assumptions!B96*Assumptions!B97*Assumptions!B94,0)</f>
        <v>886</v>
      </c>
      <c r="K27" s="17" t="n">
        <f aca="false">ROUND(E27*Assumptions!B57*Assumptions!B58,0)</f>
        <v>7955</v>
      </c>
      <c r="L27" s="17" t="n">
        <f aca="false">ROUND(IF(A27&lt;Assumptions!B113,0,IF(A27&lt;=18,Assumptions!B105,Assumptions!B107)/1000*Assumptions!B115*0.55+IF(A27&gt;=Assumptions!B114,IF(A27&lt;=18,Assumptions!B105,Assumptions!B107)*Assumptions!B109/1000*Assumptions!B116*0.55,0)),0)</f>
        <v>94</v>
      </c>
      <c r="M27" s="17" t="n">
        <f aca="false">I27+J27+K27+L27</f>
        <v>16807</v>
      </c>
      <c r="N27" s="17" t="n">
        <f aca="false">ROUND(H27*Assumptions!B62*Assumptions!B61,0)+Assumptions!B63+IF(H27&gt;Assumptions!B64,45,0)+Assumptions!B65+Assumptions!B66+Assumptions!B67+Assumptions!B68+Assumptions!B69/12+IF(A27&gt;=3,Assumptions!B72,0)+ROUND(I27*Assumptions!B70+H27*Assumptions!B71,0)+0</f>
        <v>853</v>
      </c>
      <c r="O27" s="17" t="n">
        <f aca="false">M27-N27</f>
        <v>15954</v>
      </c>
      <c r="P27" s="17" t="n">
        <f aca="false">IF((Q26+O27)&lt;N27*Assumptions!B89,0,IF((Q26+O27)&lt;N27*6,ROUND(MAX(O27,0)*Assumptions!B90,0),ROUND(MAX(O27,0)*Assumptions!B91,0)))</f>
        <v>7977</v>
      </c>
      <c r="Q27" s="17" t="n">
        <f aca="false">Q26+O27-P27</f>
        <v>59371</v>
      </c>
    </row>
    <row r="28" customFormat="false" ht="15" hidden="false" customHeight="true" outlineLevel="0" collapsed="false">
      <c r="A28" s="5" t="n">
        <v>25</v>
      </c>
      <c r="B28" s="13" t="n">
        <f aca="false">ROUND(B27*(1+Assumptions!B44),0)</f>
        <v>24206</v>
      </c>
      <c r="C28" s="13" t="n">
        <f aca="false">ROUND(IF(A28&lt;Assumptions!B100,0,IF(A28&lt;=8,Assumptions!B103,IF(A28&lt;=12,Assumptions!B104,IF(A28&lt;=18,Assumptions!B105,IF(A28&lt;=24,Assumptions!B106,Assumptions!B107))))*(1+IF(A28&gt;=Assumptions!B101,Assumptions!B109,0))*Assumptions!B111),0)</f>
        <v>540</v>
      </c>
      <c r="D28" s="13" t="n">
        <f aca="false">ROUND(ROUND(Assumptions!B119*(1+Assumptions!B120)^6*(1+Assumptions!B121)^6*(1+Assumptions!B122)^(A28-12),0)*Assumptions!B123,0)</f>
        <v>18</v>
      </c>
      <c r="E28" s="13" t="n">
        <f aca="false">B28+C28+D28</f>
        <v>24764</v>
      </c>
      <c r="F28" s="13" t="n">
        <f aca="false">ROUND(E28*Assumptions!B24,0)</f>
        <v>124</v>
      </c>
      <c r="G28" s="13" t="n">
        <f aca="false">ROUND(H27*Assumptions!B52,0)</f>
        <v>41</v>
      </c>
      <c r="H28" s="13" t="n">
        <f aca="false">H27+F28-G28</f>
        <v>769</v>
      </c>
      <c r="I28" s="14" t="n">
        <f aca="false">ROUND(H28*(Assumptions!B15*0.85+Assumptions!B11*0.15),0)</f>
        <v>8824</v>
      </c>
      <c r="J28" s="14" t="n">
        <f aca="false">ROUND(E28*Assumptions!B95*Assumptions!B96*Assumptions!B97*Assumptions!B94,0)</f>
        <v>966</v>
      </c>
      <c r="K28" s="14" t="n">
        <f aca="false">ROUND(E28*Assumptions!B57*Assumptions!B58,0)</f>
        <v>8667</v>
      </c>
      <c r="L28" s="14" t="n">
        <f aca="false">ROUND(IF(A28&lt;Assumptions!B113,0,IF(A28&lt;=18,Assumptions!B105,Assumptions!B107)/1000*Assumptions!B115*0.55+IF(A28&gt;=Assumptions!B114,IF(A28&lt;=18,Assumptions!B105,Assumptions!B107)*Assumptions!B109/1000*Assumptions!B116*0.55,0)),0)</f>
        <v>94</v>
      </c>
      <c r="M28" s="14" t="n">
        <f aca="false">I28+J28+K28+L28</f>
        <v>18551</v>
      </c>
      <c r="N28" s="14" t="n">
        <f aca="false">ROUND(H28*Assumptions!B62*Assumptions!B61,0)+Assumptions!B63+IF(H28&gt;Assumptions!B64,45,0)+Assumptions!B65+Assumptions!B66+Assumptions!B67+Assumptions!B68+Assumptions!B69/12+IF(A28&gt;=3,Assumptions!B72,0)+ROUND(I28*Assumptions!B70+H28*Assumptions!B71,0)+0</f>
        <v>929</v>
      </c>
      <c r="O28" s="14" t="n">
        <f aca="false">M28-N28</f>
        <v>17622</v>
      </c>
      <c r="P28" s="14" t="n">
        <f aca="false">IF((Q27+O28)&lt;N28*Assumptions!B89,0,IF((Q27+O28)&lt;N28*6,ROUND(MAX(O28,0)*Assumptions!B90,0),ROUND(MAX(O28,0)*Assumptions!B91,0)))</f>
        <v>8811</v>
      </c>
      <c r="Q28" s="14" t="n">
        <f aca="false">Q27+O28-P28</f>
        <v>68182</v>
      </c>
    </row>
    <row r="29" customFormat="false" ht="15" hidden="false" customHeight="true" outlineLevel="0" collapsed="false">
      <c r="A29" s="15" t="n">
        <v>26</v>
      </c>
      <c r="B29" s="16" t="n">
        <f aca="false">ROUND(B28*(1+Assumptions!B44),0)</f>
        <v>26142</v>
      </c>
      <c r="C29" s="16" t="n">
        <f aca="false">ROUND(IF(A29&lt;Assumptions!B100,0,IF(A29&lt;=8,Assumptions!B103,IF(A29&lt;=12,Assumptions!B104,IF(A29&lt;=18,Assumptions!B105,IF(A29&lt;=24,Assumptions!B106,Assumptions!B107))))*(1+IF(A29&gt;=Assumptions!B101,Assumptions!B109,0))*Assumptions!B111),0)</f>
        <v>540</v>
      </c>
      <c r="D29" s="16" t="n">
        <f aca="false">ROUND(ROUND(Assumptions!B119*(1+Assumptions!B120)^6*(1+Assumptions!B121)^6*(1+Assumptions!B122)^(A29-12),0)*Assumptions!B123,0)</f>
        <v>20</v>
      </c>
      <c r="E29" s="16" t="n">
        <f aca="false">B29+C29+D29</f>
        <v>26702</v>
      </c>
      <c r="F29" s="16" t="n">
        <f aca="false">ROUND(E29*Assumptions!B24,0)</f>
        <v>134</v>
      </c>
      <c r="G29" s="16" t="n">
        <f aca="false">ROUND(H28*Assumptions!B52,0)</f>
        <v>46</v>
      </c>
      <c r="H29" s="16" t="n">
        <f aca="false">H28+F29-G29</f>
        <v>857</v>
      </c>
      <c r="I29" s="17" t="n">
        <f aca="false">ROUND(H29*(Assumptions!B15*0.85+Assumptions!B11*0.15),0)</f>
        <v>9834</v>
      </c>
      <c r="J29" s="17" t="n">
        <f aca="false">ROUND(E29*Assumptions!B95*Assumptions!B96*Assumptions!B97*Assumptions!B94,0)</f>
        <v>1041</v>
      </c>
      <c r="K29" s="17" t="n">
        <f aca="false">ROUND(E29*Assumptions!B57*Assumptions!B58,0)</f>
        <v>9346</v>
      </c>
      <c r="L29" s="17" t="n">
        <f aca="false">ROUND(IF(A29&lt;Assumptions!B113,0,IF(A29&lt;=18,Assumptions!B105,Assumptions!B107)/1000*Assumptions!B115*0.55+IF(A29&gt;=Assumptions!B114,IF(A29&lt;=18,Assumptions!B105,Assumptions!B107)*Assumptions!B109/1000*Assumptions!B116*0.55,0)),0)</f>
        <v>94</v>
      </c>
      <c r="M29" s="17" t="n">
        <f aca="false">I29+J29+K29+L29</f>
        <v>20315</v>
      </c>
      <c r="N29" s="17" t="n">
        <f aca="false">ROUND(H29*Assumptions!B62*Assumptions!B61,0)+Assumptions!B63+IF(H29&gt;Assumptions!B64,45,0)+Assumptions!B65+Assumptions!B66+Assumptions!B67+Assumptions!B68+Assumptions!B69/12+IF(A29&gt;=3,Assumptions!B72,0)+ROUND(I29*Assumptions!B70+H29*Assumptions!B71,0)+0</f>
        <v>1009</v>
      </c>
      <c r="O29" s="17" t="n">
        <f aca="false">M29-N29</f>
        <v>19306</v>
      </c>
      <c r="P29" s="17" t="n">
        <f aca="false">IF((Q28+O29)&lt;N29*Assumptions!B89,0,IF((Q28+O29)&lt;N29*6,ROUND(MAX(O29,0)*Assumptions!B90,0),ROUND(MAX(O29,0)*Assumptions!B91,0)))</f>
        <v>9653</v>
      </c>
      <c r="Q29" s="17" t="n">
        <f aca="false">Q28+O29-P29</f>
        <v>77835</v>
      </c>
    </row>
    <row r="30" customFormat="false" ht="15" hidden="false" customHeight="true" outlineLevel="0" collapsed="false">
      <c r="A30" s="5" t="n">
        <v>27</v>
      </c>
      <c r="B30" s="13" t="n">
        <f aca="false">ROUND(B29*(1+Assumptions!B44),0)</f>
        <v>28233</v>
      </c>
      <c r="C30" s="13" t="n">
        <f aca="false">ROUND(IF(A30&lt;Assumptions!B100,0,IF(A30&lt;=8,Assumptions!B103,IF(A30&lt;=12,Assumptions!B104,IF(A30&lt;=18,Assumptions!B105,IF(A30&lt;=24,Assumptions!B106,Assumptions!B107))))*(1+IF(A30&gt;=Assumptions!B101,Assumptions!B109,0))*Assumptions!B111),0)</f>
        <v>540</v>
      </c>
      <c r="D30" s="13" t="n">
        <f aca="false">ROUND(ROUND(Assumptions!B119*(1+Assumptions!B120)^6*(1+Assumptions!B121)^6*(1+Assumptions!B122)^(A30-12),0)*Assumptions!B123,0)</f>
        <v>22</v>
      </c>
      <c r="E30" s="13" t="n">
        <f aca="false">B30+C30+D30</f>
        <v>28795</v>
      </c>
      <c r="F30" s="13" t="n">
        <f aca="false">ROUND(E30*Assumptions!B24,0)</f>
        <v>144</v>
      </c>
      <c r="G30" s="13" t="n">
        <f aca="false">ROUND(H29*Assumptions!B52,0)</f>
        <v>51</v>
      </c>
      <c r="H30" s="13" t="n">
        <f aca="false">H29+F30-G30</f>
        <v>950</v>
      </c>
      <c r="I30" s="14" t="n">
        <f aca="false">ROUND(H30*(Assumptions!B15*0.85+Assumptions!B11*0.15),0)</f>
        <v>10901</v>
      </c>
      <c r="J30" s="14" t="n">
        <f aca="false">ROUND(E30*Assumptions!B95*Assumptions!B96*Assumptions!B97*Assumptions!B94,0)</f>
        <v>1123</v>
      </c>
      <c r="K30" s="14" t="n">
        <f aca="false">ROUND(E30*Assumptions!B57*Assumptions!B58,0)</f>
        <v>10078</v>
      </c>
      <c r="L30" s="14" t="n">
        <f aca="false">ROUND(IF(A30&lt;Assumptions!B113,0,IF(A30&lt;=18,Assumptions!B105,Assumptions!B107)/1000*Assumptions!B115*0.55+IF(A30&gt;=Assumptions!B114,IF(A30&lt;=18,Assumptions!B105,Assumptions!B107)*Assumptions!B109/1000*Assumptions!B116*0.55,0)),0)</f>
        <v>94</v>
      </c>
      <c r="M30" s="14" t="n">
        <f aca="false">I30+J30+K30+L30</f>
        <v>22196</v>
      </c>
      <c r="N30" s="14" t="n">
        <f aca="false">ROUND(H30*Assumptions!B62*Assumptions!B61,0)+Assumptions!B63+IF(H30&gt;Assumptions!B64,45,0)+Assumptions!B65+Assumptions!B66+Assumptions!B67+Assumptions!B68+Assumptions!B69/12+IF(A30&gt;=3,Assumptions!B72,0)+ROUND(I30*Assumptions!B70+H30*Assumptions!B71,0)+0</f>
        <v>1094</v>
      </c>
      <c r="O30" s="14" t="n">
        <f aca="false">M30-N30</f>
        <v>21102</v>
      </c>
      <c r="P30" s="14" t="n">
        <f aca="false">IF((Q29+O30)&lt;N30*Assumptions!B89,0,IF((Q29+O30)&lt;N30*6,ROUND(MAX(O30,0)*Assumptions!B90,0),ROUND(MAX(O30,0)*Assumptions!B91,0)))</f>
        <v>10551</v>
      </c>
      <c r="Q30" s="14" t="n">
        <f aca="false">Q29+O30-P30</f>
        <v>88386</v>
      </c>
    </row>
    <row r="31" customFormat="false" ht="15" hidden="false" customHeight="true" outlineLevel="0" collapsed="false">
      <c r="A31" s="15" t="n">
        <v>28</v>
      </c>
      <c r="B31" s="16" t="n">
        <f aca="false">ROUND(B30*(1+Assumptions!B44),0)</f>
        <v>30492</v>
      </c>
      <c r="C31" s="16" t="n">
        <f aca="false">ROUND(IF(A31&lt;Assumptions!B100,0,IF(A31&lt;=8,Assumptions!B103,IF(A31&lt;=12,Assumptions!B104,IF(A31&lt;=18,Assumptions!B105,IF(A31&lt;=24,Assumptions!B106,Assumptions!B107))))*(1+IF(A31&gt;=Assumptions!B101,Assumptions!B109,0))*Assumptions!B111),0)</f>
        <v>540</v>
      </c>
      <c r="D31" s="16" t="n">
        <f aca="false">ROUND(ROUND(Assumptions!B119*(1+Assumptions!B120)^6*(1+Assumptions!B121)^6*(1+Assumptions!B122)^(A31-12),0)*Assumptions!B123,0)</f>
        <v>24</v>
      </c>
      <c r="E31" s="16" t="n">
        <f aca="false">B31+C31+D31</f>
        <v>31056</v>
      </c>
      <c r="F31" s="16" t="n">
        <f aca="false">ROUND(E31*Assumptions!B24,0)</f>
        <v>155</v>
      </c>
      <c r="G31" s="16" t="n">
        <f aca="false">ROUND(H30*Assumptions!B52,0)</f>
        <v>57</v>
      </c>
      <c r="H31" s="16" t="n">
        <f aca="false">H30+F31-G31</f>
        <v>1048</v>
      </c>
      <c r="I31" s="17" t="n">
        <f aca="false">ROUND(H31*(Assumptions!B15*0.85+Assumptions!B11*0.15),0)</f>
        <v>12026</v>
      </c>
      <c r="J31" s="17" t="n">
        <f aca="false">ROUND(E31*Assumptions!B95*Assumptions!B96*Assumptions!B97*Assumptions!B94,0)</f>
        <v>1211</v>
      </c>
      <c r="K31" s="17" t="n">
        <f aca="false">ROUND(E31*Assumptions!B57*Assumptions!B58,0)</f>
        <v>10870</v>
      </c>
      <c r="L31" s="17" t="n">
        <f aca="false">ROUND(IF(A31&lt;Assumptions!B113,0,IF(A31&lt;=18,Assumptions!B105,Assumptions!B107)/1000*Assumptions!B115*0.55+IF(A31&gt;=Assumptions!B114,IF(A31&lt;=18,Assumptions!B105,Assumptions!B107)*Assumptions!B109/1000*Assumptions!B116*0.55,0)),0)</f>
        <v>94</v>
      </c>
      <c r="M31" s="17" t="n">
        <f aca="false">I31+J31+K31+L31</f>
        <v>24201</v>
      </c>
      <c r="N31" s="17" t="n">
        <f aca="false">ROUND(H31*Assumptions!B62*Assumptions!B61,0)+Assumptions!B63+IF(H31&gt;Assumptions!B64,45,0)+Assumptions!B65+Assumptions!B66+Assumptions!B67+Assumptions!B68+Assumptions!B69/12+IF(A31&gt;=3,Assumptions!B72,0)+ROUND(I31*Assumptions!B70+H31*Assumptions!B71,0)+0</f>
        <v>1183</v>
      </c>
      <c r="O31" s="17" t="n">
        <f aca="false">M31-N31</f>
        <v>23018</v>
      </c>
      <c r="P31" s="17" t="n">
        <f aca="false">IF((Q30+O31)&lt;N31*Assumptions!B89,0,IF((Q30+O31)&lt;N31*6,ROUND(MAX(O31,0)*Assumptions!B90,0),ROUND(MAX(O31,0)*Assumptions!B91,0)))</f>
        <v>11509</v>
      </c>
      <c r="Q31" s="17" t="n">
        <f aca="false">Q30+O31-P31</f>
        <v>99895</v>
      </c>
    </row>
    <row r="32" customFormat="false" ht="15" hidden="false" customHeight="true" outlineLevel="0" collapsed="false">
      <c r="A32" s="5" t="n">
        <v>29</v>
      </c>
      <c r="B32" s="13" t="n">
        <f aca="false">ROUND(B31*(1+Assumptions!B44),0)</f>
        <v>32931</v>
      </c>
      <c r="C32" s="13" t="n">
        <f aca="false">ROUND(IF(A32&lt;Assumptions!B100,0,IF(A32&lt;=8,Assumptions!B103,IF(A32&lt;=12,Assumptions!B104,IF(A32&lt;=18,Assumptions!B105,IF(A32&lt;=24,Assumptions!B106,Assumptions!B107))))*(1+IF(A32&gt;=Assumptions!B101,Assumptions!B109,0))*Assumptions!B111),0)</f>
        <v>540</v>
      </c>
      <c r="D32" s="13" t="n">
        <f aca="false">ROUND(ROUND(Assumptions!B119*(1+Assumptions!B120)^6*(1+Assumptions!B121)^6*(1+Assumptions!B122)^(A32-12),0)*Assumptions!B123,0)</f>
        <v>26</v>
      </c>
      <c r="E32" s="13" t="n">
        <f aca="false">B32+C32+D32</f>
        <v>33497</v>
      </c>
      <c r="F32" s="13" t="n">
        <f aca="false">ROUND(E32*Assumptions!B24,0)</f>
        <v>167</v>
      </c>
      <c r="G32" s="13" t="n">
        <f aca="false">ROUND(H31*Assumptions!B52,0)</f>
        <v>63</v>
      </c>
      <c r="H32" s="13" t="n">
        <f aca="false">H31+F32-G32</f>
        <v>1152</v>
      </c>
      <c r="I32" s="14" t="n">
        <f aca="false">ROUND(H32*(Assumptions!B15*0.85+Assumptions!B11*0.15),0)</f>
        <v>13219</v>
      </c>
      <c r="J32" s="14" t="n">
        <f aca="false">ROUND(E32*Assumptions!B95*Assumptions!B96*Assumptions!B97*Assumptions!B94,0)</f>
        <v>1306</v>
      </c>
      <c r="K32" s="14" t="n">
        <f aca="false">ROUND(E32*Assumptions!B57*Assumptions!B58,0)</f>
        <v>11724</v>
      </c>
      <c r="L32" s="14" t="n">
        <f aca="false">ROUND(IF(A32&lt;Assumptions!B113,0,IF(A32&lt;=18,Assumptions!B105,Assumptions!B107)/1000*Assumptions!B115*0.55+IF(A32&gt;=Assumptions!B114,IF(A32&lt;=18,Assumptions!B105,Assumptions!B107)*Assumptions!B109/1000*Assumptions!B116*0.55,0)),0)</f>
        <v>94</v>
      </c>
      <c r="M32" s="14" t="n">
        <f aca="false">I32+J32+K32+L32</f>
        <v>26343</v>
      </c>
      <c r="N32" s="14" t="n">
        <f aca="false">ROUND(H32*Assumptions!B62*Assumptions!B61,0)+Assumptions!B63+IF(H32&gt;Assumptions!B64,45,0)+Assumptions!B65+Assumptions!B66+Assumptions!B67+Assumptions!B68+Assumptions!B69/12+IF(A32&gt;=3,Assumptions!B72,0)+ROUND(I32*Assumptions!B70+H32*Assumptions!B71,0)+0</f>
        <v>1279</v>
      </c>
      <c r="O32" s="14" t="n">
        <f aca="false">M32-N32</f>
        <v>25064</v>
      </c>
      <c r="P32" s="14" t="n">
        <f aca="false">IF((Q31+O32)&lt;N32*Assumptions!B89,0,IF((Q31+O32)&lt;N32*6,ROUND(MAX(O32,0)*Assumptions!B90,0),ROUND(MAX(O32,0)*Assumptions!B91,0)))</f>
        <v>12532</v>
      </c>
      <c r="Q32" s="14" t="n">
        <f aca="false">Q31+O32-P32</f>
        <v>112427</v>
      </c>
    </row>
    <row r="33" customFormat="false" ht="15" hidden="false" customHeight="true" outlineLevel="0" collapsed="false">
      <c r="A33" s="15" t="n">
        <v>30</v>
      </c>
      <c r="B33" s="16" t="n">
        <f aca="false">ROUND(B32*(1+Assumptions!B44),0)</f>
        <v>35565</v>
      </c>
      <c r="C33" s="16" t="n">
        <f aca="false">ROUND(IF(A33&lt;Assumptions!B100,0,IF(A33&lt;=8,Assumptions!B103,IF(A33&lt;=12,Assumptions!B104,IF(A33&lt;=18,Assumptions!B105,IF(A33&lt;=24,Assumptions!B106,Assumptions!B107))))*(1+IF(A33&gt;=Assumptions!B101,Assumptions!B109,0))*Assumptions!B111),0)</f>
        <v>540</v>
      </c>
      <c r="D33" s="16" t="n">
        <f aca="false">ROUND(ROUND(Assumptions!B119*(1+Assumptions!B120)^6*(1+Assumptions!B121)^6*(1+Assumptions!B122)^(A33-12),0)*Assumptions!B123,0)</f>
        <v>29</v>
      </c>
      <c r="E33" s="16" t="n">
        <f aca="false">B33+C33+D33</f>
        <v>36134</v>
      </c>
      <c r="F33" s="16" t="n">
        <f aca="false">ROUND(E33*Assumptions!B24,0)</f>
        <v>181</v>
      </c>
      <c r="G33" s="16" t="n">
        <f aca="false">ROUND(H32*Assumptions!B52,0)</f>
        <v>69</v>
      </c>
      <c r="H33" s="16" t="n">
        <f aca="false">H32+F33-G33</f>
        <v>1264</v>
      </c>
      <c r="I33" s="17" t="n">
        <f aca="false">ROUND(H33*(Assumptions!B15*0.85+Assumptions!B11*0.15),0)</f>
        <v>14504</v>
      </c>
      <c r="J33" s="17" t="n">
        <f aca="false">ROUND(E33*Assumptions!B95*Assumptions!B96*Assumptions!B97*Assumptions!B94,0)</f>
        <v>1409</v>
      </c>
      <c r="K33" s="17" t="n">
        <f aca="false">ROUND(E33*Assumptions!B57*Assumptions!B58,0)</f>
        <v>12647</v>
      </c>
      <c r="L33" s="17" t="n">
        <f aca="false">ROUND(IF(A33&lt;Assumptions!B113,0,IF(A33&lt;=18,Assumptions!B105,Assumptions!B107)/1000*Assumptions!B115*0.55+IF(A33&gt;=Assumptions!B114,IF(A33&lt;=18,Assumptions!B105,Assumptions!B107)*Assumptions!B109/1000*Assumptions!B116*0.55,0)),0)</f>
        <v>94</v>
      </c>
      <c r="M33" s="17" t="n">
        <f aca="false">I33+J33+K33+L33</f>
        <v>28654</v>
      </c>
      <c r="N33" s="17" t="n">
        <f aca="false">ROUND(H33*Assumptions!B62*Assumptions!B61,0)+Assumptions!B63+IF(H33&gt;Assumptions!B64,45,0)+Assumptions!B65+Assumptions!B66+Assumptions!B67+Assumptions!B68+Assumptions!B69/12+IF(A33&gt;=3,Assumptions!B72,0)+ROUND(I33*Assumptions!B70+H33*Assumptions!B71,0)+0</f>
        <v>1381</v>
      </c>
      <c r="O33" s="17" t="n">
        <f aca="false">M33-N33</f>
        <v>27273</v>
      </c>
      <c r="P33" s="17" t="n">
        <f aca="false">IF((Q32+O33)&lt;N33*Assumptions!B89,0,IF((Q32+O33)&lt;N33*6,ROUND(MAX(O33,0)*Assumptions!B90,0),ROUND(MAX(O33,0)*Assumptions!B91,0)))</f>
        <v>13637</v>
      </c>
      <c r="Q33" s="17" t="n">
        <f aca="false">Q32+O33-P33</f>
        <v>126063</v>
      </c>
    </row>
    <row r="34" customFormat="false" ht="15" hidden="false" customHeight="true" outlineLevel="0" collapsed="false">
      <c r="A34" s="5" t="n">
        <v>31</v>
      </c>
      <c r="B34" s="13" t="n">
        <f aca="false">ROUND(B33*(1+Assumptions!B44),0)</f>
        <v>38410</v>
      </c>
      <c r="C34" s="13" t="n">
        <f aca="false">ROUND(IF(A34&lt;Assumptions!B100,0,IF(A34&lt;=8,Assumptions!B103,IF(A34&lt;=12,Assumptions!B104,IF(A34&lt;=18,Assumptions!B105,IF(A34&lt;=24,Assumptions!B106,Assumptions!B107))))*(1+IF(A34&gt;=Assumptions!B101,Assumptions!B109,0))*Assumptions!B111),0)</f>
        <v>540</v>
      </c>
      <c r="D34" s="13" t="n">
        <f aca="false">ROUND(ROUND(Assumptions!B119*(1+Assumptions!B120)^6*(1+Assumptions!B121)^6*(1+Assumptions!B122)^(A34-12),0)*Assumptions!B123,0)</f>
        <v>32</v>
      </c>
      <c r="E34" s="13" t="n">
        <f aca="false">B34+C34+D34</f>
        <v>38982</v>
      </c>
      <c r="F34" s="13" t="n">
        <f aca="false">ROUND(E34*Assumptions!B24,0)</f>
        <v>195</v>
      </c>
      <c r="G34" s="13" t="n">
        <f aca="false">ROUND(H33*Assumptions!B52,0)</f>
        <v>76</v>
      </c>
      <c r="H34" s="13" t="n">
        <f aca="false">H33+F34-G34</f>
        <v>1383</v>
      </c>
      <c r="I34" s="14" t="n">
        <f aca="false">ROUND(H34*(Assumptions!B15*0.85+Assumptions!B11*0.15),0)</f>
        <v>15870</v>
      </c>
      <c r="J34" s="14" t="n">
        <f aca="false">ROUND(E34*Assumptions!B95*Assumptions!B96*Assumptions!B97*Assumptions!B94,0)</f>
        <v>1520</v>
      </c>
      <c r="K34" s="14" t="n">
        <f aca="false">ROUND(E34*Assumptions!B57*Assumptions!B58,0)</f>
        <v>13644</v>
      </c>
      <c r="L34" s="14" t="n">
        <f aca="false">ROUND(IF(A34&lt;Assumptions!B113,0,IF(A34&lt;=18,Assumptions!B105,Assumptions!B107)/1000*Assumptions!B115*0.55+IF(A34&gt;=Assumptions!B114,IF(A34&lt;=18,Assumptions!B105,Assumptions!B107)*Assumptions!B109/1000*Assumptions!B116*0.55,0)),0)</f>
        <v>94</v>
      </c>
      <c r="M34" s="14" t="n">
        <f aca="false">I34+J34+K34+L34</f>
        <v>31128</v>
      </c>
      <c r="N34" s="14" t="n">
        <f aca="false">ROUND(H34*Assumptions!B62*Assumptions!B61,0)+Assumptions!B63+IF(H34&gt;Assumptions!B64,45,0)+Assumptions!B65+Assumptions!B66+Assumptions!B67+Assumptions!B68+Assumptions!B69/12+IF(A34&gt;=3,Assumptions!B72,0)+ROUND(I34*Assumptions!B70+H34*Assumptions!B71,0)+0</f>
        <v>1489</v>
      </c>
      <c r="O34" s="14" t="n">
        <f aca="false">M34-N34</f>
        <v>29639</v>
      </c>
      <c r="P34" s="14" t="n">
        <f aca="false">IF((Q33+O34)&lt;N34*Assumptions!B89,0,IF((Q33+O34)&lt;N34*6,ROUND(MAX(O34,0)*Assumptions!B90,0),ROUND(MAX(O34,0)*Assumptions!B91,0)))</f>
        <v>14820</v>
      </c>
      <c r="Q34" s="14" t="n">
        <f aca="false">Q33+O34-P34</f>
        <v>140882</v>
      </c>
    </row>
    <row r="35" customFormat="false" ht="15" hidden="false" customHeight="true" outlineLevel="0" collapsed="false">
      <c r="A35" s="15" t="n">
        <v>32</v>
      </c>
      <c r="B35" s="16" t="n">
        <f aca="false">ROUND(B34*(1+Assumptions!B44),0)</f>
        <v>41483</v>
      </c>
      <c r="C35" s="16" t="n">
        <f aca="false">ROUND(IF(A35&lt;Assumptions!B100,0,IF(A35&lt;=8,Assumptions!B103,IF(A35&lt;=12,Assumptions!B104,IF(A35&lt;=18,Assumptions!B105,IF(A35&lt;=24,Assumptions!B106,Assumptions!B107))))*(1+IF(A35&gt;=Assumptions!B101,Assumptions!B109,0))*Assumptions!B111),0)</f>
        <v>540</v>
      </c>
      <c r="D35" s="16" t="n">
        <f aca="false">ROUND(ROUND(Assumptions!B119*(1+Assumptions!B120)^6*(1+Assumptions!B121)^6*(1+Assumptions!B122)^(A35-12),0)*Assumptions!B123,0)</f>
        <v>35</v>
      </c>
      <c r="E35" s="16" t="n">
        <f aca="false">B35+C35+D35</f>
        <v>42058</v>
      </c>
      <c r="F35" s="16" t="n">
        <f aca="false">ROUND(E35*Assumptions!B24,0)</f>
        <v>210</v>
      </c>
      <c r="G35" s="16" t="n">
        <f aca="false">ROUND(H34*Assumptions!B52,0)</f>
        <v>83</v>
      </c>
      <c r="H35" s="16" t="n">
        <f aca="false">H34+F35-G35</f>
        <v>1510</v>
      </c>
      <c r="I35" s="17" t="n">
        <f aca="false">ROUND(H35*(Assumptions!B15*0.85+Assumptions!B11*0.15),0)</f>
        <v>17327</v>
      </c>
      <c r="J35" s="17" t="n">
        <f aca="false">ROUND(E35*Assumptions!B95*Assumptions!B96*Assumptions!B97*Assumptions!B94,0)</f>
        <v>1640</v>
      </c>
      <c r="K35" s="17" t="n">
        <f aca="false">ROUND(E35*Assumptions!B57*Assumptions!B58,0)</f>
        <v>14720</v>
      </c>
      <c r="L35" s="17" t="n">
        <f aca="false">ROUND(IF(A35&lt;Assumptions!B113,0,IF(A35&lt;=18,Assumptions!B105,Assumptions!B107)/1000*Assumptions!B115*0.55+IF(A35&gt;=Assumptions!B114,IF(A35&lt;=18,Assumptions!B105,Assumptions!B107)*Assumptions!B109/1000*Assumptions!B116*0.55,0)),0)</f>
        <v>94</v>
      </c>
      <c r="M35" s="17" t="n">
        <f aca="false">I35+J35+K35+L35</f>
        <v>33781</v>
      </c>
      <c r="N35" s="17" t="n">
        <f aca="false">ROUND(H35*Assumptions!B62*Assumptions!B61,0)+Assumptions!B63+IF(H35&gt;Assumptions!B64,45,0)+Assumptions!B65+Assumptions!B66+Assumptions!B67+Assumptions!B68+Assumptions!B69/12+IF(A35&gt;=3,Assumptions!B72,0)+ROUND(I35*Assumptions!B70+H35*Assumptions!B71,0)+0</f>
        <v>1605</v>
      </c>
      <c r="O35" s="17" t="n">
        <f aca="false">M35-N35</f>
        <v>32176</v>
      </c>
      <c r="P35" s="17" t="n">
        <f aca="false">IF((Q34+O35)&lt;N35*Assumptions!B89,0,IF((Q34+O35)&lt;N35*6,ROUND(MAX(O35,0)*Assumptions!B90,0),ROUND(MAX(O35,0)*Assumptions!B91,0)))</f>
        <v>16088</v>
      </c>
      <c r="Q35" s="17" t="n">
        <f aca="false">Q34+O35-P35</f>
        <v>156970</v>
      </c>
    </row>
    <row r="36" customFormat="false" ht="15" hidden="false" customHeight="true" outlineLevel="0" collapsed="false">
      <c r="A36" s="5" t="n">
        <v>33</v>
      </c>
      <c r="B36" s="13" t="n">
        <f aca="false">ROUND(B35*(1+Assumptions!B44),0)</f>
        <v>44802</v>
      </c>
      <c r="C36" s="13" t="n">
        <f aca="false">ROUND(IF(A36&lt;Assumptions!B100,0,IF(A36&lt;=8,Assumptions!B103,IF(A36&lt;=12,Assumptions!B104,IF(A36&lt;=18,Assumptions!B105,IF(A36&lt;=24,Assumptions!B106,Assumptions!B107))))*(1+IF(A36&gt;=Assumptions!B101,Assumptions!B109,0))*Assumptions!B111),0)</f>
        <v>540</v>
      </c>
      <c r="D36" s="13" t="n">
        <f aca="false">ROUND(ROUND(Assumptions!B119*(1+Assumptions!B120)^6*(1+Assumptions!B121)^6*(1+Assumptions!B122)^(A36-12),0)*Assumptions!B123,0)</f>
        <v>38</v>
      </c>
      <c r="E36" s="13" t="n">
        <f aca="false">B36+C36+D36</f>
        <v>45380</v>
      </c>
      <c r="F36" s="13" t="n">
        <f aca="false">ROUND(E36*Assumptions!B24,0)</f>
        <v>227</v>
      </c>
      <c r="G36" s="13" t="n">
        <f aca="false">ROUND(H35*Assumptions!B52,0)</f>
        <v>91</v>
      </c>
      <c r="H36" s="13" t="n">
        <f aca="false">H35+F36-G36</f>
        <v>1646</v>
      </c>
      <c r="I36" s="14" t="n">
        <f aca="false">ROUND(H36*(Assumptions!B15*0.85+Assumptions!B11*0.15),0)</f>
        <v>18888</v>
      </c>
      <c r="J36" s="14" t="n">
        <f aca="false">ROUND(E36*Assumptions!B95*Assumptions!B96*Assumptions!B97*Assumptions!B94,0)</f>
        <v>1770</v>
      </c>
      <c r="K36" s="14" t="n">
        <f aca="false">ROUND(E36*Assumptions!B57*Assumptions!B58,0)</f>
        <v>15883</v>
      </c>
      <c r="L36" s="14" t="n">
        <f aca="false">ROUND(IF(A36&lt;Assumptions!B113,0,IF(A36&lt;=18,Assumptions!B105,Assumptions!B107)/1000*Assumptions!B115*0.55+IF(A36&gt;=Assumptions!B114,IF(A36&lt;=18,Assumptions!B105,Assumptions!B107)*Assumptions!B109/1000*Assumptions!B116*0.55,0)),0)</f>
        <v>94</v>
      </c>
      <c r="M36" s="14" t="n">
        <f aca="false">I36+J36+K36+L36</f>
        <v>36635</v>
      </c>
      <c r="N36" s="14" t="n">
        <f aca="false">ROUND(H36*Assumptions!B62*Assumptions!B61,0)+Assumptions!B63+IF(H36&gt;Assumptions!B64,45,0)+Assumptions!B65+Assumptions!B66+Assumptions!B67+Assumptions!B68+Assumptions!B69/12+IF(A36&gt;=3,Assumptions!B72,0)+ROUND(I36*Assumptions!B70+H36*Assumptions!B71,0)+0</f>
        <v>1730</v>
      </c>
      <c r="O36" s="14" t="n">
        <f aca="false">M36-N36</f>
        <v>34905</v>
      </c>
      <c r="P36" s="14" t="n">
        <f aca="false">IF((Q35+O36)&lt;N36*Assumptions!B89,0,IF((Q35+O36)&lt;N36*6,ROUND(MAX(O36,0)*Assumptions!B90,0),ROUND(MAX(O36,0)*Assumptions!B91,0)))</f>
        <v>17453</v>
      </c>
      <c r="Q36" s="14" t="n">
        <f aca="false">Q35+O36-P36</f>
        <v>174422</v>
      </c>
    </row>
    <row r="37" customFormat="false" ht="15" hidden="false" customHeight="true" outlineLevel="0" collapsed="false">
      <c r="A37" s="15" t="n">
        <v>34</v>
      </c>
      <c r="B37" s="16" t="n">
        <f aca="false">ROUND(B36*(1+Assumptions!B44),0)</f>
        <v>48386</v>
      </c>
      <c r="C37" s="16" t="n">
        <f aca="false">ROUND(IF(A37&lt;Assumptions!B100,0,IF(A37&lt;=8,Assumptions!B103,IF(A37&lt;=12,Assumptions!B104,IF(A37&lt;=18,Assumptions!B105,IF(A37&lt;=24,Assumptions!B106,Assumptions!B107))))*(1+IF(A37&gt;=Assumptions!B101,Assumptions!B109,0))*Assumptions!B111),0)</f>
        <v>540</v>
      </c>
      <c r="D37" s="16" t="n">
        <f aca="false">ROUND(ROUND(Assumptions!B119*(1+Assumptions!B120)^6*(1+Assumptions!B121)^6*(1+Assumptions!B122)^(A37-12),0)*Assumptions!B123,0)</f>
        <v>42</v>
      </c>
      <c r="E37" s="16" t="n">
        <f aca="false">B37+C37+D37</f>
        <v>48968</v>
      </c>
      <c r="F37" s="16" t="n">
        <f aca="false">ROUND(E37*Assumptions!B24,0)</f>
        <v>245</v>
      </c>
      <c r="G37" s="16" t="n">
        <f aca="false">ROUND(H36*Assumptions!B52,0)</f>
        <v>99</v>
      </c>
      <c r="H37" s="16" t="n">
        <f aca="false">H36+F37-G37</f>
        <v>1792</v>
      </c>
      <c r="I37" s="17" t="n">
        <f aca="false">ROUND(H37*(Assumptions!B15*0.85+Assumptions!B11*0.15),0)</f>
        <v>20563</v>
      </c>
      <c r="J37" s="17" t="n">
        <f aca="false">ROUND(E37*Assumptions!B95*Assumptions!B96*Assumptions!B97*Assumptions!B94,0)</f>
        <v>1910</v>
      </c>
      <c r="K37" s="17" t="n">
        <f aca="false">ROUND(E37*Assumptions!B57*Assumptions!B58,0)</f>
        <v>17139</v>
      </c>
      <c r="L37" s="17" t="n">
        <f aca="false">ROUND(IF(A37&lt;Assumptions!B113,0,IF(A37&lt;=18,Assumptions!B105,Assumptions!B107)/1000*Assumptions!B115*0.55+IF(A37&gt;=Assumptions!B114,IF(A37&lt;=18,Assumptions!B105,Assumptions!B107)*Assumptions!B109/1000*Assumptions!B116*0.55,0)),0)</f>
        <v>94</v>
      </c>
      <c r="M37" s="17" t="n">
        <f aca="false">I37+J37+K37+L37</f>
        <v>39706</v>
      </c>
      <c r="N37" s="17" t="n">
        <f aca="false">ROUND(H37*Assumptions!B62*Assumptions!B61,0)+Assumptions!B63+IF(H37&gt;Assumptions!B64,45,0)+Assumptions!B65+Assumptions!B66+Assumptions!B67+Assumptions!B68+Assumptions!B69/12+IF(A37&gt;=3,Assumptions!B72,0)+ROUND(I37*Assumptions!B70+H37*Assumptions!B71,0)+0</f>
        <v>1863</v>
      </c>
      <c r="O37" s="17" t="n">
        <f aca="false">M37-N37</f>
        <v>37843</v>
      </c>
      <c r="P37" s="17" t="n">
        <f aca="false">IF((Q36+O37)&lt;N37*Assumptions!B89,0,IF((Q36+O37)&lt;N37*6,ROUND(MAX(O37,0)*Assumptions!B90,0),ROUND(MAX(O37,0)*Assumptions!B91,0)))</f>
        <v>18922</v>
      </c>
      <c r="Q37" s="17" t="n">
        <f aca="false">Q36+O37-P37</f>
        <v>193343</v>
      </c>
    </row>
    <row r="38" customFormat="false" ht="15" hidden="false" customHeight="true" outlineLevel="0" collapsed="false">
      <c r="A38" s="5" t="n">
        <v>35</v>
      </c>
      <c r="B38" s="13" t="n">
        <f aca="false">ROUND(B37*(1+Assumptions!B44),0)</f>
        <v>52257</v>
      </c>
      <c r="C38" s="13" t="n">
        <f aca="false">ROUND(IF(A38&lt;Assumptions!B100,0,IF(A38&lt;=8,Assumptions!B103,IF(A38&lt;=12,Assumptions!B104,IF(A38&lt;=18,Assumptions!B105,IF(A38&lt;=24,Assumptions!B106,Assumptions!B107))))*(1+IF(A38&gt;=Assumptions!B101,Assumptions!B109,0))*Assumptions!B111),0)</f>
        <v>540</v>
      </c>
      <c r="D38" s="13" t="n">
        <f aca="false">ROUND(ROUND(Assumptions!B119*(1+Assumptions!B120)^6*(1+Assumptions!B121)^6*(1+Assumptions!B122)^(A38-12),0)*Assumptions!B123,0)</f>
        <v>46</v>
      </c>
      <c r="E38" s="13" t="n">
        <f aca="false">B38+C38+D38</f>
        <v>52843</v>
      </c>
      <c r="F38" s="13" t="n">
        <f aca="false">ROUND(E38*Assumptions!B24,0)</f>
        <v>264</v>
      </c>
      <c r="G38" s="13" t="n">
        <f aca="false">ROUND(H37*Assumptions!B52,0)</f>
        <v>108</v>
      </c>
      <c r="H38" s="13" t="n">
        <f aca="false">H37+F38-G38</f>
        <v>1948</v>
      </c>
      <c r="I38" s="14" t="n">
        <f aca="false">ROUND(H38*(Assumptions!B15*0.85+Assumptions!B11*0.15),0)</f>
        <v>22353</v>
      </c>
      <c r="J38" s="14" t="n">
        <f aca="false">ROUND(E38*Assumptions!B95*Assumptions!B96*Assumptions!B97*Assumptions!B94,0)</f>
        <v>2061</v>
      </c>
      <c r="K38" s="14" t="n">
        <f aca="false">ROUND(E38*Assumptions!B57*Assumptions!B58,0)</f>
        <v>18495</v>
      </c>
      <c r="L38" s="14" t="n">
        <f aca="false">ROUND(IF(A38&lt;Assumptions!B113,0,IF(A38&lt;=18,Assumptions!B105,Assumptions!B107)/1000*Assumptions!B115*0.55+IF(A38&gt;=Assumptions!B114,IF(A38&lt;=18,Assumptions!B105,Assumptions!B107)*Assumptions!B109/1000*Assumptions!B116*0.55,0)),0)</f>
        <v>94</v>
      </c>
      <c r="M38" s="14" t="n">
        <f aca="false">I38+J38+K38+L38</f>
        <v>43003</v>
      </c>
      <c r="N38" s="14" t="n">
        <f aca="false">ROUND(H38*Assumptions!B62*Assumptions!B61,0)+Assumptions!B63+IF(H38&gt;Assumptions!B64,45,0)+Assumptions!B65+Assumptions!B66+Assumptions!B67+Assumptions!B68+Assumptions!B69/12+IF(A38&gt;=3,Assumptions!B72,0)+ROUND(I38*Assumptions!B70+H38*Assumptions!B71,0)+0</f>
        <v>2005</v>
      </c>
      <c r="O38" s="14" t="n">
        <f aca="false">M38-N38</f>
        <v>40998</v>
      </c>
      <c r="P38" s="14" t="n">
        <f aca="false">IF((Q37+O38)&lt;N38*Assumptions!B89,0,IF((Q37+O38)&lt;N38*6,ROUND(MAX(O38,0)*Assumptions!B90,0),ROUND(MAX(O38,0)*Assumptions!B91,0)))</f>
        <v>20499</v>
      </c>
      <c r="Q38" s="14" t="n">
        <f aca="false">Q37+O38-P38</f>
        <v>213842</v>
      </c>
    </row>
    <row r="39" customFormat="false" ht="15" hidden="false" customHeight="true" outlineLevel="0" collapsed="false">
      <c r="A39" s="15" t="n">
        <v>36</v>
      </c>
      <c r="B39" s="16" t="n">
        <f aca="false">ROUND(B38*(1+Assumptions!B44),0)</f>
        <v>56438</v>
      </c>
      <c r="C39" s="16" t="n">
        <f aca="false">ROUND(IF(A39&lt;Assumptions!B100,0,IF(A39&lt;=8,Assumptions!B103,IF(A39&lt;=12,Assumptions!B104,IF(A39&lt;=18,Assumptions!B105,IF(A39&lt;=24,Assumptions!B106,Assumptions!B107))))*(1+IF(A39&gt;=Assumptions!B101,Assumptions!B109,0))*Assumptions!B111),0)</f>
        <v>540</v>
      </c>
      <c r="D39" s="16" t="n">
        <f aca="false">ROUND(ROUND(Assumptions!B119*(1+Assumptions!B120)^6*(1+Assumptions!B121)^6*(1+Assumptions!B122)^(A39-12),0)*Assumptions!B123,0)</f>
        <v>51</v>
      </c>
      <c r="E39" s="16" t="n">
        <f aca="false">B39+C39+D39</f>
        <v>57029</v>
      </c>
      <c r="F39" s="16" t="n">
        <f aca="false">ROUND(E39*Assumptions!B24,0)</f>
        <v>285</v>
      </c>
      <c r="G39" s="16" t="n">
        <f aca="false">ROUND(H38*Assumptions!B52,0)</f>
        <v>117</v>
      </c>
      <c r="H39" s="16" t="n">
        <f aca="false">H38+F39-G39</f>
        <v>2116</v>
      </c>
      <c r="I39" s="17" t="n">
        <f aca="false">ROUND(H39*(Assumptions!B15*0.85+Assumptions!B11*0.15),0)</f>
        <v>24281</v>
      </c>
      <c r="J39" s="17" t="n">
        <f aca="false">ROUND(E39*Assumptions!B95*Assumptions!B96*Assumptions!B97*Assumptions!B94,0)</f>
        <v>2224</v>
      </c>
      <c r="K39" s="17" t="n">
        <f aca="false">ROUND(E39*Assumptions!B57*Assumptions!B58,0)</f>
        <v>19960</v>
      </c>
      <c r="L39" s="17" t="n">
        <f aca="false">ROUND(IF(A39&lt;Assumptions!B113,0,IF(A39&lt;=18,Assumptions!B105,Assumptions!B107)/1000*Assumptions!B115*0.55+IF(A39&gt;=Assumptions!B114,IF(A39&lt;=18,Assumptions!B105,Assumptions!B107)*Assumptions!B109/1000*Assumptions!B116*0.55,0)),0)</f>
        <v>94</v>
      </c>
      <c r="M39" s="17" t="n">
        <f aca="false">I39+J39+K39+L39</f>
        <v>46559</v>
      </c>
      <c r="N39" s="17" t="n">
        <f aca="false">ROUND(H39*Assumptions!B62*Assumptions!B61,0)+Assumptions!B63+IF(H39&gt;Assumptions!B64,45,0)+Assumptions!B65+Assumptions!B66+Assumptions!B67+Assumptions!B68+Assumptions!B69/12+IF(A39&gt;=3,Assumptions!B72,0)+ROUND(I39*Assumptions!B70+H39*Assumptions!B71,0)+0</f>
        <v>2158</v>
      </c>
      <c r="O39" s="17" t="n">
        <f aca="false">M39-N39</f>
        <v>44401</v>
      </c>
      <c r="P39" s="17" t="n">
        <f aca="false">IF((Q38+O39)&lt;N39*Assumptions!B89,0,IF((Q38+O39)&lt;N39*6,ROUND(MAX(O39,0)*Assumptions!B90,0),ROUND(MAX(O39,0)*Assumptions!B91,0)))</f>
        <v>22201</v>
      </c>
      <c r="Q39" s="17" t="n">
        <f aca="false">Q38+O39-P39</f>
        <v>236042</v>
      </c>
    </row>
    <row r="40" customFormat="false" ht="15" hidden="false" customHeight="true" outlineLevel="0" collapsed="false">
      <c r="A40" s="18" t="s">
        <v>234</v>
      </c>
      <c r="I40" s="19" t="n">
        <f aca="false">SUM(I4:I39)</f>
        <v>246709</v>
      </c>
      <c r="J40" s="19" t="n">
        <f aca="false">SUM(J4:J39)</f>
        <v>25610</v>
      </c>
      <c r="K40" s="19" t="n">
        <f aca="false">SUM(K4:K39)</f>
        <v>227747</v>
      </c>
      <c r="L40" s="19" t="n">
        <f aca="false">SUM(L4:L39)</f>
        <v>1858</v>
      </c>
      <c r="M40" s="19" t="n">
        <f aca="false">SUM(M4:M39)</f>
        <v>501924</v>
      </c>
      <c r="N40" s="19" t="n">
        <f aca="false">SUM(N4:N39)</f>
        <v>30011</v>
      </c>
      <c r="O40" s="19" t="n">
        <f aca="false">SUM(O4:O39)</f>
        <v>471913</v>
      </c>
      <c r="P40" s="19" t="n">
        <f aca="false">SUM(P4:P39)</f>
        <v>235871</v>
      </c>
    </row>
    <row r="41" customFormat="false" ht="15" hidden="false" customHeight="true" outlineLevel="0" collapsed="false">
      <c r="A41" s="18" t="s">
        <v>235</v>
      </c>
      <c r="B41" s="20" t="n">
        <f aca="false">B39</f>
        <v>56438</v>
      </c>
      <c r="C41" s="20" t="n">
        <f aca="false">C39</f>
        <v>540</v>
      </c>
      <c r="D41" s="20" t="n">
        <f aca="false">D39</f>
        <v>51</v>
      </c>
      <c r="E41" s="20" t="n">
        <f aca="false">E39</f>
        <v>57029</v>
      </c>
      <c r="H41" s="20" t="n">
        <f aca="false">H39</f>
        <v>2116</v>
      </c>
      <c r="I41" s="19" t="n">
        <f aca="false">I39</f>
        <v>24281</v>
      </c>
      <c r="M41" s="19" t="n">
        <f aca="false">M39</f>
        <v>46559</v>
      </c>
      <c r="P41" s="19" t="n">
        <f aca="false">P39</f>
        <v>22201</v>
      </c>
      <c r="Q41" s="19" t="n">
        <f aca="false">Q39</f>
        <v>236042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3" min="2" style="1" width="14"/>
    <col collapsed="false" customWidth="true" hidden="false" outlineLevel="0" max="4" min="4" style="1" width="10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238</v>
      </c>
    </row>
    <row r="2" customFormat="false" ht="15" hidden="false" customHeight="true" outlineLevel="0" collapsed="false">
      <c r="A2" s="3" t="s">
        <v>239</v>
      </c>
    </row>
    <row r="3" customFormat="false" ht="15" hidden="false" customHeight="true" outlineLevel="0" collapsed="false">
      <c r="A3" s="9" t="s">
        <v>240</v>
      </c>
      <c r="B3" s="9" t="s">
        <v>191</v>
      </c>
      <c r="C3" s="9" t="s">
        <v>241</v>
      </c>
      <c r="D3" s="9" t="s">
        <v>242</v>
      </c>
      <c r="E3" s="9" t="s">
        <v>243</v>
      </c>
    </row>
    <row r="4" customFormat="false" ht="15" hidden="false" customHeight="true" outlineLevel="0" collapsed="false">
      <c r="A4" s="5" t="s">
        <v>244</v>
      </c>
      <c r="B4" s="5" t="s">
        <v>245</v>
      </c>
      <c r="C4" s="12" t="n">
        <f aca="false">Assumptions!B22</f>
        <v>0.0015</v>
      </c>
      <c r="D4" s="18" t="str">
        <f aca="false">IF(Assumptions!B22=0.0015,"PASS","FAIL")</f>
        <v>PASS</v>
      </c>
      <c r="E4" s="3" t="s">
        <v>246</v>
      </c>
    </row>
    <row r="5" customFormat="false" ht="15" hidden="false" customHeight="true" outlineLevel="0" collapsed="false">
      <c r="A5" s="5" t="s">
        <v>247</v>
      </c>
      <c r="B5" s="5" t="s">
        <v>248</v>
      </c>
      <c r="C5" s="12" t="n">
        <f aca="false">Assumptions!B23</f>
        <v>0.0025</v>
      </c>
      <c r="D5" s="18" t="str">
        <f aca="false">IF(Assumptions!B23=0.0025,"PASS","FAIL")</f>
        <v>PASS</v>
      </c>
      <c r="E5" s="3" t="s">
        <v>246</v>
      </c>
    </row>
    <row r="6" customFormat="false" ht="15" hidden="false" customHeight="true" outlineLevel="0" collapsed="false">
      <c r="A6" s="5" t="s">
        <v>249</v>
      </c>
      <c r="B6" s="5" t="s">
        <v>250</v>
      </c>
      <c r="C6" s="12" t="n">
        <f aca="false">Assumptions!B24</f>
        <v>0.005</v>
      </c>
      <c r="D6" s="18" t="str">
        <f aca="false">IF(Assumptions!B24=0.005,"PASS","FAIL")</f>
        <v>PASS</v>
      </c>
      <c r="E6" s="3" t="s">
        <v>246</v>
      </c>
    </row>
    <row r="7" customFormat="false" ht="15" hidden="false" customHeight="true" outlineLevel="0" collapsed="false">
      <c r="A7" s="5" t="s">
        <v>251</v>
      </c>
      <c r="B7" s="5" t="s">
        <v>252</v>
      </c>
      <c r="C7" s="21" t="n">
        <f aca="false">Assumptions!B50</f>
        <v>0.08</v>
      </c>
      <c r="D7" s="18" t="str">
        <f aca="false">IF(Assumptions!B50=0.08,"PASS","FAIL")</f>
        <v>PASS</v>
      </c>
      <c r="E7" s="3" t="s">
        <v>253</v>
      </c>
    </row>
    <row r="8" customFormat="false" ht="15" hidden="false" customHeight="true" outlineLevel="0" collapsed="false">
      <c r="A8" s="5" t="s">
        <v>254</v>
      </c>
      <c r="B8" s="5" t="s">
        <v>255</v>
      </c>
      <c r="C8" s="21" t="n">
        <f aca="false">Assumptions!B51</f>
        <v>0.07</v>
      </c>
      <c r="D8" s="18" t="str">
        <f aca="false">IF(Assumptions!B51=0.07,"PASS","FAIL")</f>
        <v>PASS</v>
      </c>
      <c r="E8" s="3" t="s">
        <v>256</v>
      </c>
    </row>
    <row r="9" customFormat="false" ht="15" hidden="false" customHeight="true" outlineLevel="0" collapsed="false">
      <c r="A9" s="5" t="s">
        <v>257</v>
      </c>
      <c r="B9" s="5" t="s">
        <v>258</v>
      </c>
      <c r="C9" s="21" t="n">
        <f aca="false">Assumptions!B52</f>
        <v>0.06</v>
      </c>
      <c r="D9" s="18" t="str">
        <f aca="false">IF(Assumptions!B52=0.06,"PASS","FAIL")</f>
        <v>PASS</v>
      </c>
      <c r="E9" s="3" t="s">
        <v>256</v>
      </c>
    </row>
    <row r="10" customFormat="false" ht="15" hidden="false" customHeight="true" outlineLevel="0" collapsed="false">
      <c r="A10" s="5" t="s">
        <v>259</v>
      </c>
      <c r="B10" s="5" t="s">
        <v>260</v>
      </c>
      <c r="C10" s="21" t="n">
        <f aca="false">Assumptions!B34</f>
        <v>0.1</v>
      </c>
      <c r="D10" s="18" t="str">
        <f aca="false">IF(Assumptions!B34=0.1,"PASS","FAIL")</f>
        <v>PASS</v>
      </c>
      <c r="E10" s="3" t="s">
        <v>261</v>
      </c>
    </row>
    <row r="11" customFormat="false" ht="15" hidden="false" customHeight="true" outlineLevel="0" collapsed="false">
      <c r="A11" s="5" t="s">
        <v>262</v>
      </c>
      <c r="B11" s="5" t="s">
        <v>263</v>
      </c>
      <c r="C11" s="21" t="n">
        <f aca="false">Assumptions!B38</f>
        <v>0.06</v>
      </c>
      <c r="D11" s="18" t="str">
        <f aca="false">IF(Assumptions!B38&lt;Assumptions!B34,"PASS","FAIL")</f>
        <v>PASS</v>
      </c>
      <c r="E11" s="3" t="s">
        <v>264</v>
      </c>
    </row>
    <row r="12" customFormat="false" ht="15" hidden="false" customHeight="true" outlineLevel="0" collapsed="false">
      <c r="A12" s="5" t="s">
        <v>265</v>
      </c>
      <c r="B12" s="5" t="s">
        <v>266</v>
      </c>
      <c r="C12" s="21" t="n">
        <f aca="false">Assumptions!B42</f>
        <v>0.04</v>
      </c>
      <c r="D12" s="18" t="str">
        <f aca="false">IF(Assumptions!B42&lt;Assumptions!B38,"PASS","FAIL")</f>
        <v>PASS</v>
      </c>
      <c r="E12" s="3" t="s">
        <v>264</v>
      </c>
    </row>
    <row r="13" customFormat="false" ht="15" hidden="false" customHeight="true" outlineLevel="0" collapsed="false">
      <c r="A13" s="5" t="s">
        <v>267</v>
      </c>
      <c r="B13" s="5" t="s">
        <v>268</v>
      </c>
      <c r="C13" s="22" t="n">
        <f aca="false">Assumptions!B56</f>
        <v>6</v>
      </c>
      <c r="D13" s="18" t="str">
        <f aca="false">IF(Assumptions!B56=6,"PASS","FAIL")</f>
        <v>PASS</v>
      </c>
      <c r="E13" s="3" t="s">
        <v>269</v>
      </c>
    </row>
    <row r="14" customFormat="false" ht="15" hidden="false" customHeight="true" outlineLevel="0" collapsed="false">
      <c r="A14" s="5" t="s">
        <v>270</v>
      </c>
      <c r="B14" s="5" t="s">
        <v>271</v>
      </c>
      <c r="C14" s="11" t="n">
        <f aca="false">Conservative!Q39</f>
        <v>11033</v>
      </c>
      <c r="D14" s="18" t="str">
        <f aca="false">IF(Conservative!Q39&gt;0,"PASS","FAIL")</f>
        <v>PASS</v>
      </c>
      <c r="E14" s="3" t="s">
        <v>272</v>
      </c>
    </row>
    <row r="15" customFormat="false" ht="15" hidden="false" customHeight="true" outlineLevel="0" collapsed="false">
      <c r="A15" s="5" t="s">
        <v>273</v>
      </c>
      <c r="B15" s="5" t="s">
        <v>271</v>
      </c>
      <c r="C15" s="11" t="n">
        <f aca="false">Expected!Q39</f>
        <v>56802</v>
      </c>
      <c r="D15" s="18" t="str">
        <f aca="false">IF(Expected!Q39&gt;0,"PASS","FAIL")</f>
        <v>PASS</v>
      </c>
      <c r="E15" s="3" t="s">
        <v>272</v>
      </c>
    </row>
    <row r="16" customFormat="false" ht="15" hidden="false" customHeight="true" outlineLevel="0" collapsed="false">
      <c r="A16" s="5" t="s">
        <v>274</v>
      </c>
      <c r="B16" s="5" t="s">
        <v>275</v>
      </c>
      <c r="C16" s="10" t="n">
        <f aca="false">Expected!H39</f>
        <v>304</v>
      </c>
      <c r="D16" s="18" t="str">
        <f aca="false">IF(Expected!H39&gt;0,"PASS","FAIL")</f>
        <v>PASS</v>
      </c>
      <c r="E16" s="3" t="s">
        <v>276</v>
      </c>
    </row>
    <row r="17" customFormat="false" ht="15" hidden="false" customHeight="true" outlineLevel="0" collapsed="false">
      <c r="A17" s="5" t="s">
        <v>277</v>
      </c>
      <c r="B17" s="5" t="s">
        <v>278</v>
      </c>
      <c r="C17" s="11" t="n">
        <f aca="false">Optimistic!I39</f>
        <v>24281</v>
      </c>
      <c r="D17" s="18" t="str">
        <f aca="false">IF(Optimistic!I39&gt;Conservative!I39,"PASS","FAIL")</f>
        <v>PASS</v>
      </c>
      <c r="E17" s="3" t="s">
        <v>279</v>
      </c>
    </row>
    <row r="18" customFormat="false" ht="15" hidden="false" customHeight="true" outlineLevel="0" collapsed="false">
      <c r="A18" s="5" t="s">
        <v>280</v>
      </c>
      <c r="B18" s="5" t="s">
        <v>275</v>
      </c>
      <c r="C18" s="10" t="n">
        <f aca="false">Expected!C15</f>
        <v>60</v>
      </c>
      <c r="D18" s="18" t="str">
        <f aca="false">IF(Expected!C15&gt;0,"PASS","FAIL")</f>
        <v>PASS</v>
      </c>
      <c r="E18" s="3" t="s">
        <v>281</v>
      </c>
    </row>
    <row r="19" customFormat="false" ht="15" hidden="false" customHeight="true" outlineLevel="0" collapsed="false">
      <c r="A19" s="5" t="s">
        <v>282</v>
      </c>
      <c r="B19" s="5" t="s">
        <v>275</v>
      </c>
      <c r="C19" s="10" t="n">
        <f aca="false">Expected!D9</f>
        <v>2</v>
      </c>
      <c r="D19" s="18" t="str">
        <f aca="false">IF(Expected!D9&gt;0,"PASS","FAIL")</f>
        <v>PASS</v>
      </c>
      <c r="E19" s="3" t="s">
        <v>283</v>
      </c>
    </row>
    <row r="20" customFormat="false" ht="15" hidden="false" customHeight="true" outlineLevel="0" collapsed="false">
      <c r="A20" s="5" t="s">
        <v>284</v>
      </c>
      <c r="B20" s="5" t="s">
        <v>285</v>
      </c>
      <c r="C20" s="10" t="n">
        <f aca="false">Expected!E39</f>
        <v>15433</v>
      </c>
      <c r="D20" s="18" t="str">
        <f aca="false">IF(Expected!E39&gt;Expected!B39,"PASS","FAIL")</f>
        <v>PASS</v>
      </c>
      <c r="E20" s="3" t="s">
        <v>286</v>
      </c>
    </row>
    <row r="21" customFormat="false" ht="15" hidden="false" customHeight="true" outlineLevel="0" collapsed="false">
      <c r="A21" s="5" t="s">
        <v>287</v>
      </c>
      <c r="B21" s="5" t="s">
        <v>271</v>
      </c>
      <c r="C21" s="11" t="n">
        <f aca="false">Expected!J15</f>
        <v>105</v>
      </c>
      <c r="D21" s="18" t="str">
        <f aca="false">IF(Expected!J15&gt;0,"PASS","FAIL")</f>
        <v>PASS</v>
      </c>
      <c r="E21" s="3" t="s">
        <v>288</v>
      </c>
    </row>
    <row r="22" customFormat="false" ht="15" hidden="false" customHeight="true" outlineLevel="0" collapsed="false">
      <c r="A22" s="5" t="s">
        <v>289</v>
      </c>
      <c r="B22" s="5" t="s">
        <v>290</v>
      </c>
      <c r="C22" s="21" t="n">
        <f aca="false">Assumptions!B123</f>
        <v>0.015</v>
      </c>
      <c r="D22" s="18" t="str">
        <f aca="false">IF(Assumptions!B123=0.015,"PASS","FAIL")</f>
        <v>PASS</v>
      </c>
      <c r="E22" s="3" t="s">
        <v>291</v>
      </c>
    </row>
    <row r="23" customFormat="false" ht="15" hidden="false" customHeight="true" outlineLevel="0" collapsed="false">
      <c r="A23" s="5" t="s">
        <v>292</v>
      </c>
      <c r="B23" s="5" t="s">
        <v>293</v>
      </c>
      <c r="C23" s="21" t="n">
        <f aca="false">Assumptions!B111</f>
        <v>0.02</v>
      </c>
      <c r="D23" s="18" t="str">
        <f aca="false">IF(Assumptions!B111=0.02,"PASS","FAIL")</f>
        <v>PASS</v>
      </c>
      <c r="E23" s="3" t="s">
        <v>294</v>
      </c>
    </row>
    <row r="24" customFormat="false" ht="15" hidden="false" customHeight="true" outlineLevel="0" collapsed="false">
      <c r="A24" s="18" t="s">
        <v>295</v>
      </c>
      <c r="D24" s="18" t="str">
        <f aca="false">COUNTIF(D4:D23,"PASS")&amp;" of 20 PASS"</f>
        <v>20 of 20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2026-03-12T20:59:05Z</dcterms:created>
  <dc:creator>openpyxl</dc:creator>
  <dc:description/>
  <dc:language>en-US</dc:language>
  <cp:lastModifiedBy/>
  <dcterms:modified xsi:type="dcterms:W3CDTF">2026-03-12T20:59:43Z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